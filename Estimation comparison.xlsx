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187176_tecnico_ulisboa_pt/Documents/"/>
    </mc:Choice>
  </mc:AlternateContent>
  <xr:revisionPtr revIDLastSave="0" documentId="8_{CC8D23BD-89D9-44A0-8113-12D5E2015C97}" xr6:coauthVersionLast="47" xr6:coauthVersionMax="47" xr10:uidLastSave="{00000000-0000-0000-0000-000000000000}"/>
  <bookViews>
    <workbookView xWindow="-110" yWindow="-110" windowWidth="25820" windowHeight="13900" xr2:uid="{5706871B-2F75-4146-B803-462EDB64EA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7" i="1"/>
  <c r="O246" i="1"/>
</calcChain>
</file>

<file path=xl/sharedStrings.xml><?xml version="1.0" encoding="utf-8"?>
<sst xmlns="http://schemas.openxmlformats.org/spreadsheetml/2006/main" count="2058" uniqueCount="516">
  <si>
    <t>Danio rerio</t>
  </si>
  <si>
    <t>date: 2025/07/18</t>
  </si>
  <si>
    <t>symbol</t>
  </si>
  <si>
    <t>units</t>
  </si>
  <si>
    <t>value</t>
  </si>
  <si>
    <t>°C</t>
  </si>
  <si>
    <t>func resp</t>
  </si>
  <si>
    <t>description</t>
  </si>
  <si>
    <t>model</t>
  </si>
  <si>
    <t>-</t>
  </si>
  <si>
    <t>abj</t>
  </si>
  <si>
    <t>NA</t>
  </si>
  <si>
    <t>typified model</t>
  </si>
  <si>
    <t>T_typical</t>
  </si>
  <si>
    <t>typical body temperature</t>
  </si>
  <si>
    <t>T_A</t>
  </si>
  <si>
    <t>K</t>
  </si>
  <si>
    <t>Arrhenius temp</t>
  </si>
  <si>
    <t>z</t>
  </si>
  <si>
    <t>zoom factor</t>
  </si>
  <si>
    <t>F_m</t>
  </si>
  <si>
    <t>l/d.cm^2</t>
  </si>
  <si>
    <t>{F_m}, max spec searching rate</t>
  </si>
  <si>
    <t>kap_X</t>
  </si>
  <si>
    <t>digestion efficiency of food to reserve</t>
  </si>
  <si>
    <t>kap_P</t>
  </si>
  <si>
    <t>faecation efficiency of food to faeces</t>
  </si>
  <si>
    <t>v</t>
  </si>
  <si>
    <t>cm/d</t>
  </si>
  <si>
    <t>energy conductance</t>
  </si>
  <si>
    <t>kap</t>
  </si>
  <si>
    <t>allocation fraction to soma</t>
  </si>
  <si>
    <t>kap_R</t>
  </si>
  <si>
    <t>reproduction efficiency</t>
  </si>
  <si>
    <t>p_M</t>
  </si>
  <si>
    <t>J/d.cm^3</t>
  </si>
  <si>
    <t>[p_M], vol-spec somatic maint</t>
  </si>
  <si>
    <t>p_T</t>
  </si>
  <si>
    <t>J/d.cm^2</t>
  </si>
  <si>
    <t>{p_T}, surf-spec somatic maint</t>
  </si>
  <si>
    <t>k_J</t>
  </si>
  <si>
    <t>1/d</t>
  </si>
  <si>
    <t>maturity maint rate coefficient</t>
  </si>
  <si>
    <t>E_G</t>
  </si>
  <si>
    <t>J/cm^3</t>
  </si>
  <si>
    <t>[E_G], spec cost for structure</t>
  </si>
  <si>
    <t>E_Hb</t>
  </si>
  <si>
    <t>J</t>
  </si>
  <si>
    <t>maturity at birth</t>
  </si>
  <si>
    <t>E_Hj</t>
  </si>
  <si>
    <t>maturity at metam</t>
  </si>
  <si>
    <t>E_Hp</t>
  </si>
  <si>
    <t>maturity at puberty</t>
  </si>
  <si>
    <t>h_a</t>
  </si>
  <si>
    <t>1/d^2</t>
  </si>
  <si>
    <t>Weibull aging acceleration</t>
  </si>
  <si>
    <t>s_G</t>
  </si>
  <si>
    <t>Gompertz stress coefficient</t>
  </si>
  <si>
    <t>d_X</t>
  </si>
  <si>
    <t>g/cm^3</t>
  </si>
  <si>
    <t>specific density of food</t>
  </si>
  <si>
    <t>d_V</t>
  </si>
  <si>
    <t>specific density of structure</t>
  </si>
  <si>
    <t>d_E</t>
  </si>
  <si>
    <t>specific density of reserve</t>
  </si>
  <si>
    <t>d_P</t>
  </si>
  <si>
    <t>specific density of faeces</t>
  </si>
  <si>
    <t>mu_X</t>
  </si>
  <si>
    <t>J/ mol</t>
  </si>
  <si>
    <t>chemical potential of food</t>
  </si>
  <si>
    <t>mu_V</t>
  </si>
  <si>
    <t>chemical potential of structure</t>
  </si>
  <si>
    <t>mu_E</t>
  </si>
  <si>
    <t>chemical potential of reserve</t>
  </si>
  <si>
    <t>mu_P</t>
  </si>
  <si>
    <t>chemical potential of faeces</t>
  </si>
  <si>
    <t>mu_C</t>
  </si>
  <si>
    <t>chemical potential of CO2</t>
  </si>
  <si>
    <t>mu_H</t>
  </si>
  <si>
    <t>chemical potential of H2O</t>
  </si>
  <si>
    <t>mu_O</t>
  </si>
  <si>
    <t>chemical potential of O2</t>
  </si>
  <si>
    <t>mu_N</t>
  </si>
  <si>
    <t>chemical potential of N-waste</t>
  </si>
  <si>
    <t>n_CX</t>
  </si>
  <si>
    <t>chem. index of carbon in food</t>
  </si>
  <si>
    <t>n_HX</t>
  </si>
  <si>
    <t>chem. index of hydrogen in food</t>
  </si>
  <si>
    <t>n_OX</t>
  </si>
  <si>
    <t>chem. index of oxygen in food</t>
  </si>
  <si>
    <t>n_NX</t>
  </si>
  <si>
    <t>chem. index of nitrogen in food</t>
  </si>
  <si>
    <t>n_CV</t>
  </si>
  <si>
    <t>chem. index of carbon in structure</t>
  </si>
  <si>
    <t>n_HV</t>
  </si>
  <si>
    <t>chem. index of hydrogen in structure</t>
  </si>
  <si>
    <t>n_OV</t>
  </si>
  <si>
    <t>chem. index of oxygen in structure</t>
  </si>
  <si>
    <t>n_NV</t>
  </si>
  <si>
    <t>chem. index of nitrogen in structure</t>
  </si>
  <si>
    <t>n_CE</t>
  </si>
  <si>
    <t>chem. index of carbon in reserve</t>
  </si>
  <si>
    <t>n_HE</t>
  </si>
  <si>
    <t>chem. index of hydrogen in reserve</t>
  </si>
  <si>
    <t>n_OE</t>
  </si>
  <si>
    <t>chem. index of oxygen in reserve</t>
  </si>
  <si>
    <t>n_NE</t>
  </si>
  <si>
    <t>chem. index of nitrogen in reserve</t>
  </si>
  <si>
    <t>n_CP</t>
  </si>
  <si>
    <t>chem. index of carbon in faeces</t>
  </si>
  <si>
    <t>n_HP</t>
  </si>
  <si>
    <t>chem. index of hydrogen in faeces</t>
  </si>
  <si>
    <t>n_OP</t>
  </si>
  <si>
    <t>chem. index of oxygen in faeces</t>
  </si>
  <si>
    <t>n_NP</t>
  </si>
  <si>
    <t>chem. index of nitrogen in faeces</t>
  </si>
  <si>
    <t>n_CC</t>
  </si>
  <si>
    <t>chem. index of carbon in CO2</t>
  </si>
  <si>
    <t>n_HC</t>
  </si>
  <si>
    <t>chem. index of hydrogen in CO2</t>
  </si>
  <si>
    <t>n_OC</t>
  </si>
  <si>
    <t>chem. index of oxygen in CO2</t>
  </si>
  <si>
    <t>n_NC</t>
  </si>
  <si>
    <t>chem. index of nitrogen in CO2</t>
  </si>
  <si>
    <t>n_CH</t>
  </si>
  <si>
    <t>chem. index of carbon in H2O</t>
  </si>
  <si>
    <t>n_HH</t>
  </si>
  <si>
    <t>chem. index of hydrogen in H2O</t>
  </si>
  <si>
    <t>n_OH</t>
  </si>
  <si>
    <t>chem. index of oxygen in H2O</t>
  </si>
  <si>
    <t>n_NH</t>
  </si>
  <si>
    <t>chem. index of nitrogen in H2O</t>
  </si>
  <si>
    <t>n_CO</t>
  </si>
  <si>
    <t>chem. index of carbon in O2</t>
  </si>
  <si>
    <t>n_HO</t>
  </si>
  <si>
    <t>chem. index of hydrogen in O2</t>
  </si>
  <si>
    <t>n_OO</t>
  </si>
  <si>
    <t>chem. index of oxygen in O2</t>
  </si>
  <si>
    <t>n_NO</t>
  </si>
  <si>
    <t>chem. index of nitrogen in O2</t>
  </si>
  <si>
    <t>n_CN</t>
  </si>
  <si>
    <t>chem. index of carbon in N-waste</t>
  </si>
  <si>
    <t>n_HN</t>
  </si>
  <si>
    <t>chem. index of hydrogen in N-waste</t>
  </si>
  <si>
    <t>n_ON</t>
  </si>
  <si>
    <t>chem. index of oxygen in N-waste</t>
  </si>
  <si>
    <t>n_NN</t>
  </si>
  <si>
    <t>chem. index of nitrogen in N-waste</t>
  </si>
  <si>
    <t>c_T</t>
  </si>
  <si>
    <t>Temperature Correction factor</t>
  </si>
  <si>
    <t>p_Am</t>
  </si>
  <si>
    <t>{p_Am}, spec assimilation flux</t>
  </si>
  <si>
    <t>w_X</t>
  </si>
  <si>
    <t>g/mol</t>
  </si>
  <si>
    <t>molecular weight for water-free food</t>
  </si>
  <si>
    <t>w_V</t>
  </si>
  <si>
    <t>molecular weight for water-free structure</t>
  </si>
  <si>
    <t>w_E</t>
  </si>
  <si>
    <t>molecular weight for water-free reserve</t>
  </si>
  <si>
    <t>w_P</t>
  </si>
  <si>
    <t>molecular weight for water-free product (feaces)</t>
  </si>
  <si>
    <t>M_V</t>
  </si>
  <si>
    <t>mol/cm^3</t>
  </si>
  <si>
    <t>[M_V], volume-specific mass of structure</t>
  </si>
  <si>
    <t>y_V_E</t>
  </si>
  <si>
    <t>mol/mol</t>
  </si>
  <si>
    <t>yield of structure on reserve</t>
  </si>
  <si>
    <t>y_E_V</t>
  </si>
  <si>
    <t>yield of reserve on structure</t>
  </si>
  <si>
    <t>k_M</t>
  </si>
  <si>
    <t>somatic maintenance rate coefficient</t>
  </si>
  <si>
    <t>k</t>
  </si>
  <si>
    <t>maintenance ratio</t>
  </si>
  <si>
    <t>E_m</t>
  </si>
  <si>
    <t>[E_m], reserve capacity</t>
  </si>
  <si>
    <t>m_Em</t>
  </si>
  <si>
    <t>reserve capacity</t>
  </si>
  <si>
    <t>g</t>
  </si>
  <si>
    <t>energy investment ratio</t>
  </si>
  <si>
    <t>L_m</t>
  </si>
  <si>
    <t>cm</t>
  </si>
  <si>
    <t>maximum structural length</t>
  </si>
  <si>
    <t>L_T</t>
  </si>
  <si>
    <t>heating length (also applies to osmotic work)</t>
  </si>
  <si>
    <t>l_T</t>
  </si>
  <si>
    <t>scaled heating length</t>
  </si>
  <si>
    <t>ome</t>
  </si>
  <si>
    <t>\omega, contribution of ash free dry mass of reserve to total ash free dry biomass</t>
  </si>
  <si>
    <t>J_E_Am</t>
  </si>
  <si>
    <t>mol/d.cm^2</t>
  </si>
  <si>
    <t>{J_EAm}, max surface-spec assimilation flux</t>
  </si>
  <si>
    <t>y_E_X</t>
  </si>
  <si>
    <t>yield of reserve on food</t>
  </si>
  <si>
    <t>y_X_E</t>
  </si>
  <si>
    <t>yield of food on reserve</t>
  </si>
  <si>
    <t>p_Xm</t>
  </si>
  <si>
    <t>{p_Xm}, max spec feeding power</t>
  </si>
  <si>
    <t>J_X_Am</t>
  </si>
  <si>
    <t>{J_XAm}, max surface-spec feeding flux</t>
  </si>
  <si>
    <t>y_P_X</t>
  </si>
  <si>
    <t>yield of faeces on food</t>
  </si>
  <si>
    <t>y_X_P</t>
  </si>
  <si>
    <t>yield of food on faeces</t>
  </si>
  <si>
    <t>y_P_E</t>
  </si>
  <si>
    <t>yield of faeces on reserve</t>
  </si>
  <si>
    <t>eta_XA</t>
  </si>
  <si>
    <t>mol/J</t>
  </si>
  <si>
    <t>mass-power couplers for food on assimilation</t>
  </si>
  <si>
    <t>eta_PA</t>
  </si>
  <si>
    <t>mass-power couplers for product on assimlation</t>
  </si>
  <si>
    <t>eta_VG</t>
  </si>
  <si>
    <t>mass-power couplers for structure on growth</t>
  </si>
  <si>
    <t>J_E_M</t>
  </si>
  <si>
    <t>mol/d.cm^3</t>
  </si>
  <si>
    <t>[J_EM], vol-spec somatic maint costs</t>
  </si>
  <si>
    <t>J_E_T</t>
  </si>
  <si>
    <t>{J_ET}, surface-spec somatic maint costs</t>
  </si>
  <si>
    <t>j_E_M</t>
  </si>
  <si>
    <t>mol/d.mol</t>
  </si>
  <si>
    <t>mass-spec somatic maint costs</t>
  </si>
  <si>
    <t>j_E_J</t>
  </si>
  <si>
    <t>mass-spec maturity maint costs</t>
  </si>
  <si>
    <t>kap_G</t>
  </si>
  <si>
    <t>\kappa_G, growth efficiency</t>
  </si>
  <si>
    <t>E_V</t>
  </si>
  <si>
    <t>[E_V], volume-specific energy of structure</t>
  </si>
  <si>
    <t>mol X/l</t>
  </si>
  <si>
    <t>half-saturation coefficient</t>
  </si>
  <si>
    <t>maturity level at birth</t>
  </si>
  <si>
    <t>M_Hb</t>
  </si>
  <si>
    <t>mol</t>
  </si>
  <si>
    <t>U_Hb</t>
  </si>
  <si>
    <t>cm^2.d</t>
  </si>
  <si>
    <t>scaled maturity level at birth</t>
  </si>
  <si>
    <t>V_Hb</t>
  </si>
  <si>
    <t>u_Hb</t>
  </si>
  <si>
    <t>v_Hb</t>
  </si>
  <si>
    <t>maturity level at metamorphosis</t>
  </si>
  <si>
    <t>M_Hj</t>
  </si>
  <si>
    <t>U_Hj</t>
  </si>
  <si>
    <t>scaled maturity level at metamorphosis</t>
  </si>
  <si>
    <t>V_Hj</t>
  </si>
  <si>
    <t>u_Hj</t>
  </si>
  <si>
    <t>v_Hj</t>
  </si>
  <si>
    <t>maturity level at puberty</t>
  </si>
  <si>
    <t>M_Hp</t>
  </si>
  <si>
    <t>U_Hp</t>
  </si>
  <si>
    <t>scaled maturity level at puberty</t>
  </si>
  <si>
    <t>V_Hp</t>
  </si>
  <si>
    <t>u_Hp</t>
  </si>
  <si>
    <t>v_Hp</t>
  </si>
  <si>
    <t>t_E</t>
  </si>
  <si>
    <t>d</t>
  </si>
  <si>
    <t>maximum reserve residence time</t>
  </si>
  <si>
    <t>t_starve</t>
  </si>
  <si>
    <t>maximum survival time when starved</t>
  </si>
  <si>
    <t>s_M</t>
  </si>
  <si>
    <t>acceleration factor at f=1</t>
  </si>
  <si>
    <t>r_j</t>
  </si>
  <si>
    <t>exponential growth rate</t>
  </si>
  <si>
    <t>r_B</t>
  </si>
  <si>
    <t>von Bertalanffy growth rate</t>
  </si>
  <si>
    <t>W_dWm</t>
  </si>
  <si>
    <t>wet weight at maximum growth</t>
  </si>
  <si>
    <t>dWm</t>
  </si>
  <si>
    <t>g/d</t>
  </si>
  <si>
    <t>maximum growth in wet weight</t>
  </si>
  <si>
    <t>U_E0</t>
  </si>
  <si>
    <t>scaled initial reserve</t>
  </si>
  <si>
    <t>E_0</t>
  </si>
  <si>
    <t>initial reserve</t>
  </si>
  <si>
    <t>M_E0</t>
  </si>
  <si>
    <t>Wd_0</t>
  </si>
  <si>
    <t>initial dry weight</t>
  </si>
  <si>
    <t>Ww_0</t>
  </si>
  <si>
    <t>initial wet weight</t>
  </si>
  <si>
    <t>l_b</t>
  </si>
  <si>
    <t>scaled structural length at birth</t>
  </si>
  <si>
    <t>L_b</t>
  </si>
  <si>
    <t>structural length at birth</t>
  </si>
  <si>
    <t>M_Vb</t>
  </si>
  <si>
    <t>structural mass at birth</t>
  </si>
  <si>
    <t>del_Ub</t>
  </si>
  <si>
    <t>fraction of reserve left at birth</t>
  </si>
  <si>
    <t>Ww_b</t>
  </si>
  <si>
    <t>wet weight at birth</t>
  </si>
  <si>
    <t>Wd_b</t>
  </si>
  <si>
    <t>dry weight at birth</t>
  </si>
  <si>
    <t>E_Wb</t>
  </si>
  <si>
    <t>energy content at birth</t>
  </si>
  <si>
    <t>a_b</t>
  </si>
  <si>
    <t>age at birth</t>
  </si>
  <si>
    <t>g_Hb</t>
  </si>
  <si>
    <t>energy divestment ratio at birth</t>
  </si>
  <si>
    <t>l_j</t>
  </si>
  <si>
    <t>scaled structural length at metamorphosis</t>
  </si>
  <si>
    <t>L_j</t>
  </si>
  <si>
    <t>structural length at metamorphosis</t>
  </si>
  <si>
    <t>M_Vj</t>
  </si>
  <si>
    <t>structural mass at metamorphosis</t>
  </si>
  <si>
    <t>M_Ej</t>
  </si>
  <si>
    <t>reserve mass at metamorphosis</t>
  </si>
  <si>
    <t>Ww_j</t>
  </si>
  <si>
    <t>wet weight at metamorphosis</t>
  </si>
  <si>
    <t>Wd_j</t>
  </si>
  <si>
    <t>dry weight at metamorphosis</t>
  </si>
  <si>
    <t>E_Wj</t>
  </si>
  <si>
    <t>energy content at metamorphosis</t>
  </si>
  <si>
    <t>a_j</t>
  </si>
  <si>
    <t>age at metamorphosis</t>
  </si>
  <si>
    <t>s_Hbp</t>
  </si>
  <si>
    <t>maturity ratio</t>
  </si>
  <si>
    <t>s_HLbp</t>
  </si>
  <si>
    <t>maturity density ratio at f=1</t>
  </si>
  <si>
    <t>l_p</t>
  </si>
  <si>
    <t>scaled structural length at puberty</t>
  </si>
  <si>
    <t>L_p</t>
  </si>
  <si>
    <t>structural length at puberty</t>
  </si>
  <si>
    <t>M_Vp</t>
  </si>
  <si>
    <t>structural mass at puberty</t>
  </si>
  <si>
    <t>M_Ep</t>
  </si>
  <si>
    <t>reserve mass at puberty</t>
  </si>
  <si>
    <t>Ww_p</t>
  </si>
  <si>
    <t>wet weight at puberty</t>
  </si>
  <si>
    <t>Wd_p</t>
  </si>
  <si>
    <t>dry weight at puberty</t>
  </si>
  <si>
    <t>E_Wp</t>
  </si>
  <si>
    <t>energy content at puberty</t>
  </si>
  <si>
    <t>a_p</t>
  </si>
  <si>
    <t>age at puberty</t>
  </si>
  <si>
    <t>g_Hp</t>
  </si>
  <si>
    <t>energy divestment ratio at puberty</t>
  </si>
  <si>
    <t>s_s</t>
  </si>
  <si>
    <t>supply stress</t>
  </si>
  <si>
    <t>l_i</t>
  </si>
  <si>
    <t>ultimate scaled structural length</t>
  </si>
  <si>
    <t>L_i</t>
  </si>
  <si>
    <t>ultimate structural length</t>
  </si>
  <si>
    <t>M_Vi</t>
  </si>
  <si>
    <t>ultimate structural mass</t>
  </si>
  <si>
    <t>M_Ei</t>
  </si>
  <si>
    <t>ultimate reserve mass</t>
  </si>
  <si>
    <t>Ww_i</t>
  </si>
  <si>
    <t>ultimate wet weight</t>
  </si>
  <si>
    <t>Wd_i</t>
  </si>
  <si>
    <t>ultimate dry weight</t>
  </si>
  <si>
    <t>E_Wi</t>
  </si>
  <si>
    <t>ultimate energy content</t>
  </si>
  <si>
    <t>xi_WE</t>
  </si>
  <si>
    <t>kJ/ g</t>
  </si>
  <si>
    <t>whole-body energy density of dry biomass (no reprod buffer)</t>
  </si>
  <si>
    <t>del_Wb</t>
  </si>
  <si>
    <t>birth weight as fraction of maximum weight</t>
  </si>
  <si>
    <t>del_Wp</t>
  </si>
  <si>
    <t>puberty weight as fraction of maximum weight</t>
  </si>
  <si>
    <t>del_V</t>
  </si>
  <si>
    <t>fraction of max weight that is structure</t>
  </si>
  <si>
    <t>h_W</t>
  </si>
  <si>
    <t>Weibull ageing rate</t>
  </si>
  <si>
    <t>h_G</t>
  </si>
  <si>
    <t>Gompertz aging rate</t>
  </si>
  <si>
    <t>S_b</t>
  </si>
  <si>
    <t>survival probability at birth</t>
  </si>
  <si>
    <t>S_j</t>
  </si>
  <si>
    <t>survival probability at metam</t>
  </si>
  <si>
    <t>S_p</t>
  </si>
  <si>
    <t>survival probability at puberty</t>
  </si>
  <si>
    <t>a_m</t>
  </si>
  <si>
    <t>life span</t>
  </si>
  <si>
    <t>a_99</t>
  </si>
  <si>
    <t>age at length 0.99 * L_i</t>
  </si>
  <si>
    <t>R_i</t>
  </si>
  <si>
    <t>ultimate reproduction rate</t>
  </si>
  <si>
    <t>N_i</t>
  </si>
  <si>
    <t>#</t>
  </si>
  <si>
    <t>life time reproductive output</t>
  </si>
  <si>
    <t>M_E0_min_G</t>
  </si>
  <si>
    <t>egg mass whereby growth ceases at birth</t>
  </si>
  <si>
    <t>M_E0_min_R</t>
  </si>
  <si>
    <t>egg mass whereby maturation ceases at birth</t>
  </si>
  <si>
    <t>eb_min_G</t>
  </si>
  <si>
    <t>scaled reserve density whereby growth ceases at birth</t>
  </si>
  <si>
    <t>eb_min_R</t>
  </si>
  <si>
    <t>scaled reserve density whereby maturation ceases at birth</t>
  </si>
  <si>
    <t>ep_min</t>
  </si>
  <si>
    <t>scaled reserve density whereby maturation and growth cease at puberty</t>
  </si>
  <si>
    <t>sM_min</t>
  </si>
  <si>
    <t>acceleration factor whereby maturation ceases at puberty</t>
  </si>
  <si>
    <t>p_Xb</t>
  </si>
  <si>
    <t>J/d</t>
  </si>
  <si>
    <t>food intake at birth</t>
  </si>
  <si>
    <t>J_Xb</t>
  </si>
  <si>
    <t>mol/d</t>
  </si>
  <si>
    <t>F_mb</t>
  </si>
  <si>
    <t>l/d</t>
  </si>
  <si>
    <t>max searching rate at birth</t>
  </si>
  <si>
    <t>p_Xp</t>
  </si>
  <si>
    <t>food intake at puberty</t>
  </si>
  <si>
    <t>J_Xp</t>
  </si>
  <si>
    <t>F_mp</t>
  </si>
  <si>
    <t>max searching rate at puberty</t>
  </si>
  <si>
    <t>p_Xi</t>
  </si>
  <si>
    <t>ultimate food intake</t>
  </si>
  <si>
    <t>J_Xi</t>
  </si>
  <si>
    <t>F_mi</t>
  </si>
  <si>
    <t>max ultimate searching rate</t>
  </si>
  <si>
    <t>p_Ab</t>
  </si>
  <si>
    <t>assimilation at birth</t>
  </si>
  <si>
    <t>p_Cb</t>
  </si>
  <si>
    <t>mobilisation at birth</t>
  </si>
  <si>
    <t>p_Sb</t>
  </si>
  <si>
    <t>somatic maintenance at birth</t>
  </si>
  <si>
    <t>p_Jb</t>
  </si>
  <si>
    <t>maturity maintenance at birth</t>
  </si>
  <si>
    <t>p_Gb</t>
  </si>
  <si>
    <t>growth at birth</t>
  </si>
  <si>
    <t>p_Rb</t>
  </si>
  <si>
    <t>maturation at birth</t>
  </si>
  <si>
    <t>p_Db</t>
  </si>
  <si>
    <t>dissipation at birth</t>
  </si>
  <si>
    <t>p_Ap</t>
  </si>
  <si>
    <t>assimilation at puberty</t>
  </si>
  <si>
    <t>p_Cp</t>
  </si>
  <si>
    <t>mobilisation at puberty</t>
  </si>
  <si>
    <t>p_Sp</t>
  </si>
  <si>
    <t>somatic maintenance at puberty</t>
  </si>
  <si>
    <t>p_Jp</t>
  </si>
  <si>
    <t>maturity maintenance at puberty</t>
  </si>
  <si>
    <t>p_Gp</t>
  </si>
  <si>
    <t>growth at puberty</t>
  </si>
  <si>
    <t>p_Rp</t>
  </si>
  <si>
    <t>reproduction at puberty</t>
  </si>
  <si>
    <t>p_Dp</t>
  </si>
  <si>
    <t>dissipation at puberty</t>
  </si>
  <si>
    <t>p_Ai</t>
  </si>
  <si>
    <t>ultimate assimilation</t>
  </si>
  <si>
    <t>p_Ci</t>
  </si>
  <si>
    <t>ultimate mobilisation</t>
  </si>
  <si>
    <t>p_Si</t>
  </si>
  <si>
    <t>ultimate somatic maintenance</t>
  </si>
  <si>
    <t>p_Ji</t>
  </si>
  <si>
    <t>ultimate maturity maintenance</t>
  </si>
  <si>
    <t>p_Gi</t>
  </si>
  <si>
    <t>ultimate growth</t>
  </si>
  <si>
    <t>p_Ri</t>
  </si>
  <si>
    <t>ultimate reproduction</t>
  </si>
  <si>
    <t>p_Di</t>
  </si>
  <si>
    <t>ultimate dissipation</t>
  </si>
  <si>
    <t>J_Cb</t>
  </si>
  <si>
    <t>CO2 flux at birth</t>
  </si>
  <si>
    <t>J_Cp</t>
  </si>
  <si>
    <t>CO2 flux at puberty</t>
  </si>
  <si>
    <t>J_Ci</t>
  </si>
  <si>
    <t>ultimate CO2 flux</t>
  </si>
  <si>
    <t>J_Hb</t>
  </si>
  <si>
    <t>water flux at birth</t>
  </si>
  <si>
    <t>J_Hp</t>
  </si>
  <si>
    <t>water flux at puberty</t>
  </si>
  <si>
    <t>J_Hi</t>
  </si>
  <si>
    <t>ultimate water flux</t>
  </si>
  <si>
    <t>J_Ob</t>
  </si>
  <si>
    <t>O2 flux at birth</t>
  </si>
  <si>
    <t>J_Op</t>
  </si>
  <si>
    <t>O2 flux at puberty</t>
  </si>
  <si>
    <t>J_Oi</t>
  </si>
  <si>
    <t>ultimate O2 flux</t>
  </si>
  <si>
    <t>J_Nb</t>
  </si>
  <si>
    <t>N-waste flux at birth</t>
  </si>
  <si>
    <t>J_Np</t>
  </si>
  <si>
    <t>N-waste flux at puberty</t>
  </si>
  <si>
    <t>J_Ni</t>
  </si>
  <si>
    <t>ultimate N-waste flux</t>
  </si>
  <si>
    <t>RQ_b</t>
  </si>
  <si>
    <t>mol C/mol O</t>
  </si>
  <si>
    <t>resp quotient at birth</t>
  </si>
  <si>
    <t>UQ_b</t>
  </si>
  <si>
    <t>mol N/mol O</t>
  </si>
  <si>
    <t>urine quotient at birth</t>
  </si>
  <si>
    <t>WQ_b</t>
  </si>
  <si>
    <t>mol H/mol O</t>
  </si>
  <si>
    <t>water quotient at birth</t>
  </si>
  <si>
    <t>SDA_b</t>
  </si>
  <si>
    <t>mol O/mol X</t>
  </si>
  <si>
    <t>specific dynamic action at birth</t>
  </si>
  <si>
    <t>VO_b</t>
  </si>
  <si>
    <t>L/h.g</t>
  </si>
  <si>
    <t>dioxygen use per gram max dry weight, &lt;J_OD&gt; at birth</t>
  </si>
  <si>
    <t>p_Tb</t>
  </si>
  <si>
    <t>total heat at birth</t>
  </si>
  <si>
    <t>RQ_p</t>
  </si>
  <si>
    <t>resp quotient at puberty</t>
  </si>
  <si>
    <t>UQ_p</t>
  </si>
  <si>
    <t>urine quotient at puberty</t>
  </si>
  <si>
    <t>WQ_p</t>
  </si>
  <si>
    <t>water quotient at puberty</t>
  </si>
  <si>
    <t>SDA_p</t>
  </si>
  <si>
    <t>specific dynamic action at puberty</t>
  </si>
  <si>
    <t>VO_p</t>
  </si>
  <si>
    <t>dioxygen use per gram max dry weight, &lt;J_OD&gt; at puberty</t>
  </si>
  <si>
    <t>p_Tp</t>
  </si>
  <si>
    <t>total heat at puberty</t>
  </si>
  <si>
    <t>RQ_i</t>
  </si>
  <si>
    <t>ultimate resp quotient</t>
  </si>
  <si>
    <t>UQ_i</t>
  </si>
  <si>
    <t>ultimate urine quotient</t>
  </si>
  <si>
    <t>WQ_i</t>
  </si>
  <si>
    <t>ultimate water quotient</t>
  </si>
  <si>
    <t>SDA_i</t>
  </si>
  <si>
    <t>ultimate specific dynamic action</t>
  </si>
  <si>
    <t>VO_i</t>
  </si>
  <si>
    <t>ultimate dioxygen use per gram max dry weight, &lt;J_OD&gt;</t>
  </si>
  <si>
    <t>p_Ti</t>
  </si>
  <si>
    <t>ultimate total heat</t>
  </si>
  <si>
    <t>date: 2025/07/25</t>
  </si>
  <si>
    <t>Limited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</si>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</sst>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1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6C4D-DFA9-440D-B0B7-DA391570FAD3}">
  <sheetPr codeName="Sheet1"/>
  <dimension ref="A2:O248"/>
  <sheetViews>
    <sheetView tabSelected="1" workbookViewId="0">
      <selection activeCell="Q4" sqref="Q4"/>
    </sheetView>
  </sheetViews>
  <sheetFormatPr defaultRowHeight="14.5" x14ac:dyDescent="0.35"/>
  <cols>
    <col min="6" max="6" width="17.7265625" customWidth="1"/>
    <col min="13" max="13" width="23.54296875" customWidth="1"/>
  </cols>
  <sheetData>
    <row r="2" spans="1:15" ht="43.5" x14ac:dyDescent="0.35">
      <c r="A2" s="6" t="s">
        <v>514</v>
      </c>
      <c r="B2" s="6"/>
      <c r="C2" s="6" t="s">
        <v>0</v>
      </c>
      <c r="D2" s="6"/>
      <c r="E2" s="1"/>
      <c r="F2" s="1" t="s">
        <v>1</v>
      </c>
      <c r="H2" s="6" t="s">
        <v>515</v>
      </c>
      <c r="I2" s="6"/>
      <c r="J2" s="6" t="s">
        <v>0</v>
      </c>
      <c r="K2" s="6"/>
      <c r="L2" s="1"/>
      <c r="M2" s="1" t="s">
        <v>513</v>
      </c>
    </row>
    <row r="3" spans="1:15" ht="29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H3" s="1" t="s">
        <v>2</v>
      </c>
      <c r="I3" s="1" t="s">
        <v>3</v>
      </c>
      <c r="J3" s="1" t="s">
        <v>4</v>
      </c>
      <c r="K3" s="1" t="s">
        <v>5</v>
      </c>
      <c r="L3" s="1" t="s">
        <v>6</v>
      </c>
      <c r="M3" s="1" t="s">
        <v>7</v>
      </c>
      <c r="N3" s="1"/>
    </row>
    <row r="4" spans="1:15" ht="29" x14ac:dyDescent="0.35">
      <c r="A4" s="4" t="s">
        <v>8</v>
      </c>
      <c r="B4" s="3" t="s">
        <v>9</v>
      </c>
      <c r="C4" s="3" t="s">
        <v>10</v>
      </c>
      <c r="D4" s="3" t="s">
        <v>11</v>
      </c>
      <c r="E4" s="2" t="s">
        <v>11</v>
      </c>
      <c r="F4" s="3" t="s">
        <v>12</v>
      </c>
      <c r="H4" s="4" t="s">
        <v>8</v>
      </c>
      <c r="I4" s="3" t="s">
        <v>9</v>
      </c>
      <c r="J4" s="3" t="s">
        <v>10</v>
      </c>
      <c r="K4" s="3" t="s">
        <v>11</v>
      </c>
      <c r="L4" s="2" t="s">
        <v>11</v>
      </c>
      <c r="M4" s="3" t="s">
        <v>12</v>
      </c>
      <c r="N4" s="1"/>
      <c r="O4" s="7"/>
    </row>
    <row r="5" spans="1:15" ht="58" x14ac:dyDescent="0.35">
      <c r="A5" s="4" t="s">
        <v>13</v>
      </c>
      <c r="B5" s="3" t="s">
        <v>5</v>
      </c>
      <c r="C5" s="3">
        <v>20</v>
      </c>
      <c r="D5" s="3" t="s">
        <v>11</v>
      </c>
      <c r="E5" s="2" t="s">
        <v>11</v>
      </c>
      <c r="F5" s="3" t="s">
        <v>14</v>
      </c>
      <c r="H5" s="4" t="s">
        <v>13</v>
      </c>
      <c r="I5" s="3" t="s">
        <v>5</v>
      </c>
      <c r="J5" s="3">
        <v>20</v>
      </c>
      <c r="K5" s="3" t="s">
        <v>11</v>
      </c>
      <c r="L5" s="2" t="s">
        <v>11</v>
      </c>
      <c r="M5" s="3" t="s">
        <v>14</v>
      </c>
      <c r="N5" s="3"/>
      <c r="O5" s="7">
        <f t="shared" ref="O4:O67" si="0">ABS(C5-J5)/ABS(C5)</f>
        <v>0</v>
      </c>
    </row>
    <row r="6" spans="1:15" ht="29" x14ac:dyDescent="0.35">
      <c r="A6" s="4" t="s">
        <v>15</v>
      </c>
      <c r="B6" s="3" t="s">
        <v>16</v>
      </c>
      <c r="C6" s="3">
        <v>8000</v>
      </c>
      <c r="D6" s="3" t="s">
        <v>11</v>
      </c>
      <c r="E6" s="2" t="s">
        <v>11</v>
      </c>
      <c r="F6" s="3" t="s">
        <v>17</v>
      </c>
      <c r="H6" s="4" t="s">
        <v>15</v>
      </c>
      <c r="I6" s="3" t="s">
        <v>16</v>
      </c>
      <c r="J6" s="3">
        <v>8000</v>
      </c>
      <c r="K6" s="3" t="s">
        <v>11</v>
      </c>
      <c r="L6" s="2" t="s">
        <v>11</v>
      </c>
      <c r="M6" s="3" t="s">
        <v>17</v>
      </c>
      <c r="N6" s="3"/>
      <c r="O6" s="7">
        <f t="shared" si="0"/>
        <v>0</v>
      </c>
    </row>
    <row r="7" spans="1:15" ht="29" x14ac:dyDescent="0.35">
      <c r="A7" s="4" t="s">
        <v>18</v>
      </c>
      <c r="B7" s="3" t="s">
        <v>9</v>
      </c>
      <c r="C7" s="3">
        <v>0.25842900000000002</v>
      </c>
      <c r="D7" s="3" t="s">
        <v>11</v>
      </c>
      <c r="E7" s="2" t="s">
        <v>11</v>
      </c>
      <c r="F7" s="3" t="s">
        <v>19</v>
      </c>
      <c r="H7" s="4" t="s">
        <v>18</v>
      </c>
      <c r="I7" s="3" t="s">
        <v>9</v>
      </c>
      <c r="J7" s="3">
        <v>0.221549</v>
      </c>
      <c r="K7" s="3" t="s">
        <v>11</v>
      </c>
      <c r="L7" s="2" t="s">
        <v>11</v>
      </c>
      <c r="M7" s="3" t="s">
        <v>19</v>
      </c>
      <c r="N7" s="3"/>
      <c r="O7" s="7">
        <f t="shared" si="0"/>
        <v>0.14270844216399869</v>
      </c>
    </row>
    <row r="8" spans="1:15" ht="58" x14ac:dyDescent="0.35">
      <c r="A8" s="4" t="s">
        <v>20</v>
      </c>
      <c r="B8" s="3" t="s">
        <v>21</v>
      </c>
      <c r="C8" s="3">
        <v>6.5</v>
      </c>
      <c r="D8" s="3">
        <v>20</v>
      </c>
      <c r="E8" s="2" t="s">
        <v>11</v>
      </c>
      <c r="F8" s="3" t="s">
        <v>22</v>
      </c>
      <c r="H8" s="4" t="s">
        <v>20</v>
      </c>
      <c r="I8" s="3" t="s">
        <v>21</v>
      </c>
      <c r="J8" s="3">
        <v>6.5</v>
      </c>
      <c r="K8" s="3">
        <v>20</v>
      </c>
      <c r="L8" s="2" t="s">
        <v>11</v>
      </c>
      <c r="M8" s="3" t="s">
        <v>22</v>
      </c>
      <c r="N8" s="3"/>
      <c r="O8" s="7">
        <f t="shared" si="0"/>
        <v>0</v>
      </c>
    </row>
    <row r="9" spans="1:15" ht="58" x14ac:dyDescent="0.35">
      <c r="A9" s="4" t="s">
        <v>23</v>
      </c>
      <c r="B9" s="3" t="s">
        <v>9</v>
      </c>
      <c r="C9" s="3">
        <v>0.8</v>
      </c>
      <c r="D9" s="3" t="s">
        <v>11</v>
      </c>
      <c r="E9" s="2" t="s">
        <v>11</v>
      </c>
      <c r="F9" s="3" t="s">
        <v>24</v>
      </c>
      <c r="H9" s="4" t="s">
        <v>23</v>
      </c>
      <c r="I9" s="3" t="s">
        <v>9</v>
      </c>
      <c r="J9" s="3">
        <v>0.8</v>
      </c>
      <c r="K9" s="3" t="s">
        <v>11</v>
      </c>
      <c r="L9" s="2" t="s">
        <v>11</v>
      </c>
      <c r="M9" s="3" t="s">
        <v>24</v>
      </c>
      <c r="N9" s="3"/>
      <c r="O9" s="7">
        <f t="shared" si="0"/>
        <v>0</v>
      </c>
    </row>
    <row r="10" spans="1:15" ht="58" x14ac:dyDescent="0.35">
      <c r="A10" s="4" t="s">
        <v>25</v>
      </c>
      <c r="B10" s="3" t="s">
        <v>9</v>
      </c>
      <c r="C10" s="3">
        <v>0.1</v>
      </c>
      <c r="D10" s="3" t="s">
        <v>11</v>
      </c>
      <c r="E10" s="2" t="s">
        <v>11</v>
      </c>
      <c r="F10" s="3" t="s">
        <v>26</v>
      </c>
      <c r="H10" s="4" t="s">
        <v>25</v>
      </c>
      <c r="I10" s="3" t="s">
        <v>9</v>
      </c>
      <c r="J10" s="3">
        <v>0.1</v>
      </c>
      <c r="K10" s="3" t="s">
        <v>11</v>
      </c>
      <c r="L10" s="2" t="s">
        <v>11</v>
      </c>
      <c r="M10" s="3" t="s">
        <v>26</v>
      </c>
      <c r="N10" s="3"/>
      <c r="O10" s="7">
        <f t="shared" si="0"/>
        <v>0</v>
      </c>
    </row>
    <row r="11" spans="1:15" ht="43.5" x14ac:dyDescent="0.35">
      <c r="A11" s="4" t="s">
        <v>27</v>
      </c>
      <c r="B11" s="3" t="s">
        <v>28</v>
      </c>
      <c r="C11" s="3">
        <v>1.9352600000000001E-2</v>
      </c>
      <c r="D11" s="3">
        <v>20</v>
      </c>
      <c r="E11" s="2" t="s">
        <v>11</v>
      </c>
      <c r="F11" s="3" t="s">
        <v>29</v>
      </c>
      <c r="H11" s="4" t="s">
        <v>27</v>
      </c>
      <c r="I11" s="3" t="s">
        <v>28</v>
      </c>
      <c r="J11" s="3">
        <v>1.84917E-2</v>
      </c>
      <c r="K11" s="3">
        <v>20</v>
      </c>
      <c r="L11" s="2" t="s">
        <v>11</v>
      </c>
      <c r="M11" s="3" t="s">
        <v>29</v>
      </c>
      <c r="N11" s="3"/>
      <c r="O11" s="7">
        <f t="shared" si="0"/>
        <v>4.4484978762543599E-2</v>
      </c>
    </row>
    <row r="12" spans="1:15" ht="43.5" x14ac:dyDescent="0.35">
      <c r="A12" s="4" t="s">
        <v>30</v>
      </c>
      <c r="B12" s="3" t="s">
        <v>9</v>
      </c>
      <c r="C12" s="3">
        <v>0.85574600000000001</v>
      </c>
      <c r="D12" s="3" t="s">
        <v>11</v>
      </c>
      <c r="E12" s="2" t="s">
        <v>11</v>
      </c>
      <c r="F12" s="3" t="s">
        <v>31</v>
      </c>
      <c r="H12" s="4" t="s">
        <v>30</v>
      </c>
      <c r="I12" s="3" t="s">
        <v>9</v>
      </c>
      <c r="J12" s="3">
        <v>0.37116100000000002</v>
      </c>
      <c r="K12" s="3" t="s">
        <v>11</v>
      </c>
      <c r="L12" s="2" t="s">
        <v>11</v>
      </c>
      <c r="M12" s="3" t="s">
        <v>31</v>
      </c>
      <c r="N12" s="3"/>
      <c r="O12" s="7">
        <f t="shared" si="0"/>
        <v>0.56627200127140531</v>
      </c>
    </row>
    <row r="13" spans="1:15" ht="43.5" x14ac:dyDescent="0.35">
      <c r="A13" s="4" t="s">
        <v>32</v>
      </c>
      <c r="B13" s="3" t="s">
        <v>9</v>
      </c>
      <c r="C13" s="3">
        <v>0.95</v>
      </c>
      <c r="D13" s="3" t="s">
        <v>11</v>
      </c>
      <c r="E13" s="2" t="s">
        <v>11</v>
      </c>
      <c r="F13" s="3" t="s">
        <v>33</v>
      </c>
      <c r="H13" s="4" t="s">
        <v>32</v>
      </c>
      <c r="I13" s="3" t="s">
        <v>9</v>
      </c>
      <c r="J13" s="3">
        <v>0.95</v>
      </c>
      <c r="K13" s="3" t="s">
        <v>11</v>
      </c>
      <c r="L13" s="2" t="s">
        <v>11</v>
      </c>
      <c r="M13" s="3" t="s">
        <v>33</v>
      </c>
      <c r="N13" s="3"/>
      <c r="O13" s="7">
        <f t="shared" si="0"/>
        <v>0</v>
      </c>
    </row>
    <row r="14" spans="1:15" ht="58" x14ac:dyDescent="0.35">
      <c r="A14" s="4" t="s">
        <v>34</v>
      </c>
      <c r="B14" s="3" t="s">
        <v>35</v>
      </c>
      <c r="C14" s="3">
        <v>163.893</v>
      </c>
      <c r="D14" s="3">
        <v>20</v>
      </c>
      <c r="E14" s="2" t="s">
        <v>11</v>
      </c>
      <c r="F14" s="3" t="s">
        <v>36</v>
      </c>
      <c r="H14" s="4" t="s">
        <v>34</v>
      </c>
      <c r="I14" s="3" t="s">
        <v>35</v>
      </c>
      <c r="J14" s="3">
        <v>211.179</v>
      </c>
      <c r="K14" s="3">
        <v>20</v>
      </c>
      <c r="L14" s="2" t="s">
        <v>11</v>
      </c>
      <c r="M14" s="3" t="s">
        <v>36</v>
      </c>
      <c r="N14" s="3"/>
      <c r="O14" s="7">
        <f t="shared" si="0"/>
        <v>0.28851750837436618</v>
      </c>
    </row>
    <row r="15" spans="1:15" ht="58" x14ac:dyDescent="0.35">
      <c r="A15" s="4" t="s">
        <v>37</v>
      </c>
      <c r="B15" s="3" t="s">
        <v>38</v>
      </c>
      <c r="C15" s="3">
        <v>0</v>
      </c>
      <c r="D15" s="3">
        <v>20</v>
      </c>
      <c r="E15" s="2" t="s">
        <v>11</v>
      </c>
      <c r="F15" s="3" t="s">
        <v>39</v>
      </c>
      <c r="H15" s="4" t="s">
        <v>37</v>
      </c>
      <c r="I15" s="3" t="s">
        <v>38</v>
      </c>
      <c r="J15" s="3">
        <v>0</v>
      </c>
      <c r="K15" s="3">
        <v>20</v>
      </c>
      <c r="L15" s="2" t="s">
        <v>11</v>
      </c>
      <c r="M15" s="3" t="s">
        <v>39</v>
      </c>
      <c r="N15" s="3"/>
      <c r="O15" s="7" t="e">
        <f t="shared" si="0"/>
        <v>#DIV/0!</v>
      </c>
    </row>
    <row r="16" spans="1:15" ht="72.5" x14ac:dyDescent="0.35">
      <c r="A16" s="4" t="s">
        <v>40</v>
      </c>
      <c r="B16" s="3" t="s">
        <v>41</v>
      </c>
      <c r="C16" s="3">
        <v>2E-3</v>
      </c>
      <c r="D16" s="3">
        <v>20</v>
      </c>
      <c r="E16" s="2" t="s">
        <v>11</v>
      </c>
      <c r="F16" s="3" t="s">
        <v>42</v>
      </c>
      <c r="H16" s="4" t="s">
        <v>40</v>
      </c>
      <c r="I16" s="3" t="s">
        <v>41</v>
      </c>
      <c r="J16" s="3">
        <v>2E-3</v>
      </c>
      <c r="K16" s="3">
        <v>20</v>
      </c>
      <c r="L16" s="2" t="s">
        <v>11</v>
      </c>
      <c r="M16" s="3" t="s">
        <v>42</v>
      </c>
      <c r="N16" s="3"/>
      <c r="O16" s="7">
        <f t="shared" si="0"/>
        <v>0</v>
      </c>
    </row>
    <row r="17" spans="1:15" ht="58" x14ac:dyDescent="0.35">
      <c r="A17" s="4" t="s">
        <v>43</v>
      </c>
      <c r="B17" s="3" t="s">
        <v>44</v>
      </c>
      <c r="C17" s="3">
        <v>5225.92</v>
      </c>
      <c r="D17" s="3" t="s">
        <v>11</v>
      </c>
      <c r="E17" s="2" t="s">
        <v>11</v>
      </c>
      <c r="F17" s="3" t="s">
        <v>45</v>
      </c>
      <c r="H17" s="4" t="s">
        <v>43</v>
      </c>
      <c r="I17" s="3" t="s">
        <v>44</v>
      </c>
      <c r="J17" s="3">
        <v>5221.6400000000003</v>
      </c>
      <c r="K17" s="3" t="s">
        <v>11</v>
      </c>
      <c r="L17" s="2" t="s">
        <v>11</v>
      </c>
      <c r="M17" s="3" t="s">
        <v>45</v>
      </c>
      <c r="N17" s="3"/>
      <c r="O17" s="7">
        <f t="shared" si="0"/>
        <v>8.1899455024182256E-4</v>
      </c>
    </row>
    <row r="18" spans="1:15" ht="29" x14ac:dyDescent="0.35">
      <c r="A18" s="4" t="s">
        <v>46</v>
      </c>
      <c r="B18" s="3" t="s">
        <v>47</v>
      </c>
      <c r="C18" s="3">
        <v>4.9272499999999997E-2</v>
      </c>
      <c r="D18" s="3" t="s">
        <v>11</v>
      </c>
      <c r="E18" s="2" t="s">
        <v>11</v>
      </c>
      <c r="F18" s="3" t="s">
        <v>48</v>
      </c>
      <c r="H18" s="4" t="s">
        <v>46</v>
      </c>
      <c r="I18" s="3" t="s">
        <v>47</v>
      </c>
      <c r="J18" s="3">
        <v>0.48092400000000002</v>
      </c>
      <c r="K18" s="3" t="s">
        <v>11</v>
      </c>
      <c r="L18" s="2" t="s">
        <v>11</v>
      </c>
      <c r="M18" s="3" t="s">
        <v>48</v>
      </c>
      <c r="N18" s="3"/>
      <c r="O18" s="7">
        <f t="shared" si="0"/>
        <v>8.7604952052361877</v>
      </c>
    </row>
    <row r="19" spans="1:15" ht="29" x14ac:dyDescent="0.35">
      <c r="A19" s="4" t="s">
        <v>49</v>
      </c>
      <c r="B19" s="3" t="s">
        <v>47</v>
      </c>
      <c r="C19" s="3">
        <v>0.34170899999999998</v>
      </c>
      <c r="D19" s="3" t="s">
        <v>11</v>
      </c>
      <c r="E19" s="2" t="s">
        <v>11</v>
      </c>
      <c r="F19" s="3" t="s">
        <v>50</v>
      </c>
      <c r="H19" s="4" t="s">
        <v>49</v>
      </c>
      <c r="I19" s="3" t="s">
        <v>47</v>
      </c>
      <c r="J19" s="3">
        <v>20.933599999999998</v>
      </c>
      <c r="K19" s="3" t="s">
        <v>11</v>
      </c>
      <c r="L19" s="2" t="s">
        <v>11</v>
      </c>
      <c r="M19" s="3" t="s">
        <v>50</v>
      </c>
      <c r="N19" s="3"/>
      <c r="O19" s="7">
        <f t="shared" si="0"/>
        <v>60.261482723603997</v>
      </c>
    </row>
    <row r="20" spans="1:15" ht="43.5" x14ac:dyDescent="0.35">
      <c r="A20" s="4" t="s">
        <v>51</v>
      </c>
      <c r="B20" s="3" t="s">
        <v>47</v>
      </c>
      <c r="C20" s="3">
        <v>66.343100000000007</v>
      </c>
      <c r="D20" s="3" t="s">
        <v>11</v>
      </c>
      <c r="E20" s="2" t="s">
        <v>11</v>
      </c>
      <c r="F20" s="3" t="s">
        <v>52</v>
      </c>
      <c r="H20" s="4" t="s">
        <v>51</v>
      </c>
      <c r="I20" s="3" t="s">
        <v>47</v>
      </c>
      <c r="J20" s="3">
        <v>3628.45</v>
      </c>
      <c r="K20" s="3" t="s">
        <v>11</v>
      </c>
      <c r="L20" s="2" t="s">
        <v>11</v>
      </c>
      <c r="M20" s="3" t="s">
        <v>52</v>
      </c>
      <c r="N20" s="3"/>
      <c r="O20" s="7">
        <f t="shared" si="0"/>
        <v>53.692198585836344</v>
      </c>
    </row>
    <row r="21" spans="1:15" ht="58" x14ac:dyDescent="0.35">
      <c r="A21" s="4" t="s">
        <v>53</v>
      </c>
      <c r="B21" s="3" t="s">
        <v>54</v>
      </c>
      <c r="C21" s="5">
        <v>2.4809200000000002E-9</v>
      </c>
      <c r="D21" s="3">
        <v>20</v>
      </c>
      <c r="E21" s="2" t="s">
        <v>11</v>
      </c>
      <c r="F21" s="3" t="s">
        <v>55</v>
      </c>
      <c r="H21" s="4" t="s">
        <v>53</v>
      </c>
      <c r="I21" s="3" t="s">
        <v>54</v>
      </c>
      <c r="J21" s="5">
        <v>2.22408E-9</v>
      </c>
      <c r="K21" s="3">
        <v>20</v>
      </c>
      <c r="L21" s="2" t="s">
        <v>11</v>
      </c>
      <c r="M21" s="3" t="s">
        <v>55</v>
      </c>
      <c r="N21" s="3"/>
      <c r="O21" s="7">
        <f t="shared" si="0"/>
        <v>0.10352611128129892</v>
      </c>
    </row>
    <row r="22" spans="1:15" ht="58" x14ac:dyDescent="0.35">
      <c r="A22" s="4" t="s">
        <v>56</v>
      </c>
      <c r="B22" s="3" t="s">
        <v>9</v>
      </c>
      <c r="C22" s="3">
        <v>1E-4</v>
      </c>
      <c r="D22" s="3" t="s">
        <v>11</v>
      </c>
      <c r="E22" s="2" t="s">
        <v>11</v>
      </c>
      <c r="F22" s="3" t="s">
        <v>57</v>
      </c>
      <c r="H22" s="4" t="s">
        <v>56</v>
      </c>
      <c r="I22" s="3" t="s">
        <v>9</v>
      </c>
      <c r="J22" s="3">
        <v>1E-4</v>
      </c>
      <c r="K22" s="3" t="s">
        <v>11</v>
      </c>
      <c r="L22" s="2" t="s">
        <v>11</v>
      </c>
      <c r="M22" s="3" t="s">
        <v>57</v>
      </c>
      <c r="N22" s="3"/>
      <c r="O22" s="7">
        <f t="shared" si="0"/>
        <v>0</v>
      </c>
    </row>
    <row r="23" spans="1:15" ht="43.5" x14ac:dyDescent="0.35">
      <c r="A23" s="4" t="s">
        <v>58</v>
      </c>
      <c r="B23" s="3" t="s">
        <v>59</v>
      </c>
      <c r="C23" s="3">
        <v>0.2</v>
      </c>
      <c r="D23" s="3" t="s">
        <v>11</v>
      </c>
      <c r="E23" s="2" t="s">
        <v>11</v>
      </c>
      <c r="F23" s="3" t="s">
        <v>60</v>
      </c>
      <c r="H23" s="4" t="s">
        <v>58</v>
      </c>
      <c r="I23" s="3" t="s">
        <v>59</v>
      </c>
      <c r="J23" s="3">
        <v>0.2</v>
      </c>
      <c r="K23" s="3" t="s">
        <v>11</v>
      </c>
      <c r="L23" s="2" t="s">
        <v>11</v>
      </c>
      <c r="M23" s="3" t="s">
        <v>60</v>
      </c>
      <c r="N23" s="3"/>
      <c r="O23" s="7">
        <f t="shared" si="0"/>
        <v>0</v>
      </c>
    </row>
    <row r="24" spans="1:15" ht="43.5" x14ac:dyDescent="0.35">
      <c r="A24" s="4" t="s">
        <v>61</v>
      </c>
      <c r="B24" s="3" t="s">
        <v>59</v>
      </c>
      <c r="C24" s="3">
        <v>0.2</v>
      </c>
      <c r="D24" s="3" t="s">
        <v>11</v>
      </c>
      <c r="E24" s="2" t="s">
        <v>11</v>
      </c>
      <c r="F24" s="3" t="s">
        <v>62</v>
      </c>
      <c r="H24" s="4" t="s">
        <v>61</v>
      </c>
      <c r="I24" s="3" t="s">
        <v>59</v>
      </c>
      <c r="J24" s="3">
        <v>0.2</v>
      </c>
      <c r="K24" s="3" t="s">
        <v>11</v>
      </c>
      <c r="L24" s="2" t="s">
        <v>11</v>
      </c>
      <c r="M24" s="3" t="s">
        <v>62</v>
      </c>
      <c r="N24" s="3"/>
      <c r="O24" s="7">
        <f t="shared" si="0"/>
        <v>0</v>
      </c>
    </row>
    <row r="25" spans="1:15" ht="43.5" x14ac:dyDescent="0.35">
      <c r="A25" s="4" t="s">
        <v>63</v>
      </c>
      <c r="B25" s="3" t="s">
        <v>59</v>
      </c>
      <c r="C25" s="3">
        <v>0.2</v>
      </c>
      <c r="D25" s="3" t="s">
        <v>11</v>
      </c>
      <c r="E25" s="2" t="s">
        <v>11</v>
      </c>
      <c r="F25" s="3" t="s">
        <v>64</v>
      </c>
      <c r="H25" s="4" t="s">
        <v>63</v>
      </c>
      <c r="I25" s="3" t="s">
        <v>59</v>
      </c>
      <c r="J25" s="3">
        <v>0.2</v>
      </c>
      <c r="K25" s="3" t="s">
        <v>11</v>
      </c>
      <c r="L25" s="2" t="s">
        <v>11</v>
      </c>
      <c r="M25" s="3" t="s">
        <v>64</v>
      </c>
      <c r="N25" s="3"/>
      <c r="O25" s="7">
        <f t="shared" si="0"/>
        <v>0</v>
      </c>
    </row>
    <row r="26" spans="1:15" ht="43.5" x14ac:dyDescent="0.35">
      <c r="A26" s="4" t="s">
        <v>65</v>
      </c>
      <c r="B26" s="3" t="s">
        <v>59</v>
      </c>
      <c r="C26" s="3">
        <v>0.2</v>
      </c>
      <c r="D26" s="3" t="s">
        <v>11</v>
      </c>
      <c r="E26" s="2" t="s">
        <v>11</v>
      </c>
      <c r="F26" s="3" t="s">
        <v>66</v>
      </c>
      <c r="H26" s="4" t="s">
        <v>65</v>
      </c>
      <c r="I26" s="3" t="s">
        <v>59</v>
      </c>
      <c r="J26" s="3">
        <v>0.2</v>
      </c>
      <c r="K26" s="3" t="s">
        <v>11</v>
      </c>
      <c r="L26" s="2" t="s">
        <v>11</v>
      </c>
      <c r="M26" s="3" t="s">
        <v>66</v>
      </c>
      <c r="N26" s="3"/>
      <c r="O26" s="7">
        <f t="shared" si="0"/>
        <v>0</v>
      </c>
    </row>
    <row r="27" spans="1:15" ht="43.5" x14ac:dyDescent="0.35">
      <c r="A27" s="4" t="s">
        <v>67</v>
      </c>
      <c r="B27" s="3" t="s">
        <v>68</v>
      </c>
      <c r="C27" s="3">
        <v>525000</v>
      </c>
      <c r="D27" s="3" t="s">
        <v>11</v>
      </c>
      <c r="E27" s="2" t="s">
        <v>11</v>
      </c>
      <c r="F27" s="3" t="s">
        <v>69</v>
      </c>
      <c r="H27" s="4" t="s">
        <v>67</v>
      </c>
      <c r="I27" s="3" t="s">
        <v>68</v>
      </c>
      <c r="J27" s="3">
        <v>525000</v>
      </c>
      <c r="K27" s="3" t="s">
        <v>11</v>
      </c>
      <c r="L27" s="2" t="s">
        <v>11</v>
      </c>
      <c r="M27" s="3" t="s">
        <v>69</v>
      </c>
      <c r="N27" s="3"/>
      <c r="O27" s="7">
        <f t="shared" si="0"/>
        <v>0</v>
      </c>
    </row>
    <row r="28" spans="1:15" ht="58" x14ac:dyDescent="0.35">
      <c r="A28" s="4" t="s">
        <v>70</v>
      </c>
      <c r="B28" s="3" t="s">
        <v>68</v>
      </c>
      <c r="C28" s="3">
        <v>500000</v>
      </c>
      <c r="D28" s="3" t="s">
        <v>11</v>
      </c>
      <c r="E28" s="2" t="s">
        <v>11</v>
      </c>
      <c r="F28" s="3" t="s">
        <v>71</v>
      </c>
      <c r="H28" s="4" t="s">
        <v>70</v>
      </c>
      <c r="I28" s="3" t="s">
        <v>68</v>
      </c>
      <c r="J28" s="3">
        <v>500000</v>
      </c>
      <c r="K28" s="3" t="s">
        <v>11</v>
      </c>
      <c r="L28" s="2" t="s">
        <v>11</v>
      </c>
      <c r="M28" s="3" t="s">
        <v>71</v>
      </c>
      <c r="N28" s="3"/>
      <c r="O28" s="7">
        <f t="shared" si="0"/>
        <v>0</v>
      </c>
    </row>
    <row r="29" spans="1:15" ht="43.5" x14ac:dyDescent="0.35">
      <c r="A29" s="4" t="s">
        <v>72</v>
      </c>
      <c r="B29" s="3" t="s">
        <v>68</v>
      </c>
      <c r="C29" s="3">
        <v>550000</v>
      </c>
      <c r="D29" s="3" t="s">
        <v>11</v>
      </c>
      <c r="E29" s="2" t="s">
        <v>11</v>
      </c>
      <c r="F29" s="3" t="s">
        <v>73</v>
      </c>
      <c r="H29" s="4" t="s">
        <v>72</v>
      </c>
      <c r="I29" s="3" t="s">
        <v>68</v>
      </c>
      <c r="J29" s="3">
        <v>550000</v>
      </c>
      <c r="K29" s="3" t="s">
        <v>11</v>
      </c>
      <c r="L29" s="2" t="s">
        <v>11</v>
      </c>
      <c r="M29" s="3" t="s">
        <v>73</v>
      </c>
      <c r="N29" s="3"/>
      <c r="O29" s="7">
        <f t="shared" si="0"/>
        <v>0</v>
      </c>
    </row>
    <row r="30" spans="1:15" ht="43.5" x14ac:dyDescent="0.35">
      <c r="A30" s="4" t="s">
        <v>74</v>
      </c>
      <c r="B30" s="3" t="s">
        <v>68</v>
      </c>
      <c r="C30" s="3">
        <v>480000</v>
      </c>
      <c r="D30" s="3" t="s">
        <v>11</v>
      </c>
      <c r="E30" s="2" t="s">
        <v>11</v>
      </c>
      <c r="F30" s="3" t="s">
        <v>75</v>
      </c>
      <c r="H30" s="4" t="s">
        <v>74</v>
      </c>
      <c r="I30" s="3" t="s">
        <v>68</v>
      </c>
      <c r="J30" s="3">
        <v>480000</v>
      </c>
      <c r="K30" s="3" t="s">
        <v>11</v>
      </c>
      <c r="L30" s="2" t="s">
        <v>11</v>
      </c>
      <c r="M30" s="3" t="s">
        <v>75</v>
      </c>
      <c r="N30" s="3"/>
      <c r="O30" s="7">
        <f t="shared" si="0"/>
        <v>0</v>
      </c>
    </row>
    <row r="31" spans="1:15" ht="43.5" x14ac:dyDescent="0.35">
      <c r="A31" s="4" t="s">
        <v>76</v>
      </c>
      <c r="B31" s="3" t="s">
        <v>68</v>
      </c>
      <c r="C31" s="3">
        <v>0</v>
      </c>
      <c r="D31" s="3" t="s">
        <v>11</v>
      </c>
      <c r="E31" s="2" t="s">
        <v>11</v>
      </c>
      <c r="F31" s="3" t="s">
        <v>77</v>
      </c>
      <c r="H31" s="4" t="s">
        <v>76</v>
      </c>
      <c r="I31" s="3" t="s">
        <v>68</v>
      </c>
      <c r="J31" s="3">
        <v>0</v>
      </c>
      <c r="K31" s="3" t="s">
        <v>11</v>
      </c>
      <c r="L31" s="2" t="s">
        <v>11</v>
      </c>
      <c r="M31" s="3" t="s">
        <v>77</v>
      </c>
      <c r="N31" s="3"/>
      <c r="O31" s="7" t="e">
        <f t="shared" si="0"/>
        <v>#DIV/0!</v>
      </c>
    </row>
    <row r="32" spans="1:15" ht="43.5" x14ac:dyDescent="0.35">
      <c r="A32" s="4" t="s">
        <v>78</v>
      </c>
      <c r="B32" s="3" t="s">
        <v>68</v>
      </c>
      <c r="C32" s="3">
        <v>0</v>
      </c>
      <c r="D32" s="3" t="s">
        <v>11</v>
      </c>
      <c r="E32" s="2" t="s">
        <v>11</v>
      </c>
      <c r="F32" s="3" t="s">
        <v>79</v>
      </c>
      <c r="H32" s="4" t="s">
        <v>78</v>
      </c>
      <c r="I32" s="3" t="s">
        <v>68</v>
      </c>
      <c r="J32" s="3">
        <v>0</v>
      </c>
      <c r="K32" s="3" t="s">
        <v>11</v>
      </c>
      <c r="L32" s="2" t="s">
        <v>11</v>
      </c>
      <c r="M32" s="3" t="s">
        <v>79</v>
      </c>
      <c r="N32" s="3"/>
      <c r="O32" s="7" t="e">
        <f t="shared" si="0"/>
        <v>#DIV/0!</v>
      </c>
    </row>
    <row r="33" spans="1:15" ht="43.5" x14ac:dyDescent="0.35">
      <c r="A33" s="4" t="s">
        <v>80</v>
      </c>
      <c r="B33" s="3" t="s">
        <v>68</v>
      </c>
      <c r="C33" s="3">
        <v>0</v>
      </c>
      <c r="D33" s="3" t="s">
        <v>11</v>
      </c>
      <c r="E33" s="2" t="s">
        <v>11</v>
      </c>
      <c r="F33" s="3" t="s">
        <v>81</v>
      </c>
      <c r="H33" s="4" t="s">
        <v>80</v>
      </c>
      <c r="I33" s="3" t="s">
        <v>68</v>
      </c>
      <c r="J33" s="3">
        <v>0</v>
      </c>
      <c r="K33" s="3" t="s">
        <v>11</v>
      </c>
      <c r="L33" s="2" t="s">
        <v>11</v>
      </c>
      <c r="M33" s="3" t="s">
        <v>81</v>
      </c>
      <c r="N33" s="3"/>
      <c r="O33" s="7" t="e">
        <f t="shared" si="0"/>
        <v>#DIV/0!</v>
      </c>
    </row>
    <row r="34" spans="1:15" ht="58" x14ac:dyDescent="0.35">
      <c r="A34" s="4" t="s">
        <v>82</v>
      </c>
      <c r="B34" s="3" t="s">
        <v>68</v>
      </c>
      <c r="C34" s="3">
        <v>339250</v>
      </c>
      <c r="D34" s="3" t="s">
        <v>11</v>
      </c>
      <c r="E34" s="2" t="s">
        <v>11</v>
      </c>
      <c r="F34" s="3" t="s">
        <v>83</v>
      </c>
      <c r="H34" s="4" t="s">
        <v>82</v>
      </c>
      <c r="I34" s="3" t="s">
        <v>68</v>
      </c>
      <c r="J34" s="3">
        <v>339250</v>
      </c>
      <c r="K34" s="3" t="s">
        <v>11</v>
      </c>
      <c r="L34" s="2" t="s">
        <v>11</v>
      </c>
      <c r="M34" s="3" t="s">
        <v>83</v>
      </c>
      <c r="N34" s="3"/>
      <c r="O34" s="7">
        <f t="shared" si="0"/>
        <v>0</v>
      </c>
    </row>
    <row r="35" spans="1:15" ht="58" x14ac:dyDescent="0.35">
      <c r="A35" s="4" t="s">
        <v>84</v>
      </c>
      <c r="B35" s="3" t="s">
        <v>9</v>
      </c>
      <c r="C35" s="3">
        <v>1</v>
      </c>
      <c r="D35" s="3" t="s">
        <v>11</v>
      </c>
      <c r="E35" s="2" t="s">
        <v>11</v>
      </c>
      <c r="F35" s="3" t="s">
        <v>85</v>
      </c>
      <c r="H35" s="4" t="s">
        <v>84</v>
      </c>
      <c r="I35" s="3" t="s">
        <v>9</v>
      </c>
      <c r="J35" s="3">
        <v>1</v>
      </c>
      <c r="K35" s="3" t="s">
        <v>11</v>
      </c>
      <c r="L35" s="2" t="s">
        <v>11</v>
      </c>
      <c r="M35" s="3" t="s">
        <v>85</v>
      </c>
      <c r="N35" s="3"/>
      <c r="O35" s="7">
        <f t="shared" si="0"/>
        <v>0</v>
      </c>
    </row>
    <row r="36" spans="1:15" ht="58" x14ac:dyDescent="0.35">
      <c r="A36" s="4" t="s">
        <v>86</v>
      </c>
      <c r="B36" s="3" t="s">
        <v>9</v>
      </c>
      <c r="C36" s="3">
        <v>1.8</v>
      </c>
      <c r="D36" s="3" t="s">
        <v>11</v>
      </c>
      <c r="E36" s="2" t="s">
        <v>11</v>
      </c>
      <c r="F36" s="3" t="s">
        <v>87</v>
      </c>
      <c r="H36" s="4" t="s">
        <v>86</v>
      </c>
      <c r="I36" s="3" t="s">
        <v>9</v>
      </c>
      <c r="J36" s="3">
        <v>1.8</v>
      </c>
      <c r="K36" s="3" t="s">
        <v>11</v>
      </c>
      <c r="L36" s="2" t="s">
        <v>11</v>
      </c>
      <c r="M36" s="3" t="s">
        <v>87</v>
      </c>
      <c r="N36" s="3"/>
      <c r="O36" s="7">
        <f t="shared" si="0"/>
        <v>0</v>
      </c>
    </row>
    <row r="37" spans="1:15" ht="58" x14ac:dyDescent="0.35">
      <c r="A37" s="4" t="s">
        <v>88</v>
      </c>
      <c r="B37" s="3" t="s">
        <v>9</v>
      </c>
      <c r="C37" s="3">
        <v>0.5</v>
      </c>
      <c r="D37" s="3" t="s">
        <v>11</v>
      </c>
      <c r="E37" s="2" t="s">
        <v>11</v>
      </c>
      <c r="F37" s="3" t="s">
        <v>89</v>
      </c>
      <c r="H37" s="4" t="s">
        <v>88</v>
      </c>
      <c r="I37" s="3" t="s">
        <v>9</v>
      </c>
      <c r="J37" s="3">
        <v>0.5</v>
      </c>
      <c r="K37" s="3" t="s">
        <v>11</v>
      </c>
      <c r="L37" s="2" t="s">
        <v>11</v>
      </c>
      <c r="M37" s="3" t="s">
        <v>89</v>
      </c>
      <c r="N37" s="3"/>
      <c r="O37" s="7">
        <f t="shared" si="0"/>
        <v>0</v>
      </c>
    </row>
    <row r="38" spans="1:15" ht="58" x14ac:dyDescent="0.35">
      <c r="A38" s="4" t="s">
        <v>90</v>
      </c>
      <c r="B38" s="3" t="s">
        <v>9</v>
      </c>
      <c r="C38" s="3">
        <v>0.15</v>
      </c>
      <c r="D38" s="3" t="s">
        <v>11</v>
      </c>
      <c r="E38" s="2" t="s">
        <v>11</v>
      </c>
      <c r="F38" s="3" t="s">
        <v>91</v>
      </c>
      <c r="H38" s="4" t="s">
        <v>90</v>
      </c>
      <c r="I38" s="3" t="s">
        <v>9</v>
      </c>
      <c r="J38" s="3">
        <v>0.15</v>
      </c>
      <c r="K38" s="3" t="s">
        <v>11</v>
      </c>
      <c r="L38" s="2" t="s">
        <v>11</v>
      </c>
      <c r="M38" s="3" t="s">
        <v>91</v>
      </c>
      <c r="N38" s="3"/>
      <c r="O38" s="7">
        <f t="shared" si="0"/>
        <v>0</v>
      </c>
    </row>
    <row r="39" spans="1:15" ht="58" x14ac:dyDescent="0.35">
      <c r="A39" s="4" t="s">
        <v>92</v>
      </c>
      <c r="B39" s="3" t="s">
        <v>9</v>
      </c>
      <c r="C39" s="3">
        <v>1</v>
      </c>
      <c r="D39" s="3" t="s">
        <v>11</v>
      </c>
      <c r="E39" s="2" t="s">
        <v>11</v>
      </c>
      <c r="F39" s="3" t="s">
        <v>93</v>
      </c>
      <c r="H39" s="4" t="s">
        <v>92</v>
      </c>
      <c r="I39" s="3" t="s">
        <v>9</v>
      </c>
      <c r="J39" s="3">
        <v>1</v>
      </c>
      <c r="K39" s="3" t="s">
        <v>11</v>
      </c>
      <c r="L39" s="2" t="s">
        <v>11</v>
      </c>
      <c r="M39" s="3" t="s">
        <v>93</v>
      </c>
      <c r="N39" s="3"/>
      <c r="O39" s="7">
        <f t="shared" si="0"/>
        <v>0</v>
      </c>
    </row>
    <row r="40" spans="1:15" ht="72.5" x14ac:dyDescent="0.35">
      <c r="A40" s="4" t="s">
        <v>94</v>
      </c>
      <c r="B40" s="3" t="s">
        <v>9</v>
      </c>
      <c r="C40" s="3">
        <v>1.8</v>
      </c>
      <c r="D40" s="3" t="s">
        <v>11</v>
      </c>
      <c r="E40" s="2" t="s">
        <v>11</v>
      </c>
      <c r="F40" s="3" t="s">
        <v>95</v>
      </c>
      <c r="H40" s="4" t="s">
        <v>94</v>
      </c>
      <c r="I40" s="3" t="s">
        <v>9</v>
      </c>
      <c r="J40" s="3">
        <v>1.8</v>
      </c>
      <c r="K40" s="3" t="s">
        <v>11</v>
      </c>
      <c r="L40" s="2" t="s">
        <v>11</v>
      </c>
      <c r="M40" s="3" t="s">
        <v>95</v>
      </c>
      <c r="N40" s="3"/>
      <c r="O40" s="7">
        <f t="shared" si="0"/>
        <v>0</v>
      </c>
    </row>
    <row r="41" spans="1:15" ht="58" x14ac:dyDescent="0.35">
      <c r="A41" s="4" t="s">
        <v>96</v>
      </c>
      <c r="B41" s="3" t="s">
        <v>9</v>
      </c>
      <c r="C41" s="3">
        <v>0.5</v>
      </c>
      <c r="D41" s="3" t="s">
        <v>11</v>
      </c>
      <c r="E41" s="2" t="s">
        <v>11</v>
      </c>
      <c r="F41" s="3" t="s">
        <v>97</v>
      </c>
      <c r="H41" s="4" t="s">
        <v>96</v>
      </c>
      <c r="I41" s="3" t="s">
        <v>9</v>
      </c>
      <c r="J41" s="3">
        <v>0.5</v>
      </c>
      <c r="K41" s="3" t="s">
        <v>11</v>
      </c>
      <c r="L41" s="2" t="s">
        <v>11</v>
      </c>
      <c r="M41" s="3" t="s">
        <v>97</v>
      </c>
      <c r="N41" s="3"/>
      <c r="O41" s="7">
        <f t="shared" si="0"/>
        <v>0</v>
      </c>
    </row>
    <row r="42" spans="1:15" ht="72.5" x14ac:dyDescent="0.35">
      <c r="A42" s="4" t="s">
        <v>98</v>
      </c>
      <c r="B42" s="3" t="s">
        <v>9</v>
      </c>
      <c r="C42" s="3">
        <v>0.15</v>
      </c>
      <c r="D42" s="3" t="s">
        <v>11</v>
      </c>
      <c r="E42" s="2" t="s">
        <v>11</v>
      </c>
      <c r="F42" s="3" t="s">
        <v>99</v>
      </c>
      <c r="H42" s="4" t="s">
        <v>98</v>
      </c>
      <c r="I42" s="3" t="s">
        <v>9</v>
      </c>
      <c r="J42" s="3">
        <v>0.15</v>
      </c>
      <c r="K42" s="3" t="s">
        <v>11</v>
      </c>
      <c r="L42" s="2" t="s">
        <v>11</v>
      </c>
      <c r="M42" s="3" t="s">
        <v>99</v>
      </c>
      <c r="N42" s="3"/>
      <c r="O42" s="7">
        <f t="shared" si="0"/>
        <v>0</v>
      </c>
    </row>
    <row r="43" spans="1:15" ht="58" x14ac:dyDescent="0.35">
      <c r="A43" s="4" t="s">
        <v>100</v>
      </c>
      <c r="B43" s="3" t="s">
        <v>9</v>
      </c>
      <c r="C43" s="3">
        <v>1</v>
      </c>
      <c r="D43" s="3" t="s">
        <v>11</v>
      </c>
      <c r="E43" s="2" t="s">
        <v>11</v>
      </c>
      <c r="F43" s="3" t="s">
        <v>101</v>
      </c>
      <c r="H43" s="4" t="s">
        <v>100</v>
      </c>
      <c r="I43" s="3" t="s">
        <v>9</v>
      </c>
      <c r="J43" s="3">
        <v>1</v>
      </c>
      <c r="K43" s="3" t="s">
        <v>11</v>
      </c>
      <c r="L43" s="2" t="s">
        <v>11</v>
      </c>
      <c r="M43" s="3" t="s">
        <v>101</v>
      </c>
      <c r="N43" s="3"/>
      <c r="O43" s="7">
        <f t="shared" si="0"/>
        <v>0</v>
      </c>
    </row>
    <row r="44" spans="1:15" ht="58" x14ac:dyDescent="0.35">
      <c r="A44" s="4" t="s">
        <v>102</v>
      </c>
      <c r="B44" s="3" t="s">
        <v>9</v>
      </c>
      <c r="C44" s="3">
        <v>1.8</v>
      </c>
      <c r="D44" s="3" t="s">
        <v>11</v>
      </c>
      <c r="E44" s="2" t="s">
        <v>11</v>
      </c>
      <c r="F44" s="3" t="s">
        <v>103</v>
      </c>
      <c r="H44" s="4" t="s">
        <v>102</v>
      </c>
      <c r="I44" s="3" t="s">
        <v>9</v>
      </c>
      <c r="J44" s="3">
        <v>1.8</v>
      </c>
      <c r="K44" s="3" t="s">
        <v>11</v>
      </c>
      <c r="L44" s="2" t="s">
        <v>11</v>
      </c>
      <c r="M44" s="3" t="s">
        <v>103</v>
      </c>
      <c r="N44" s="3"/>
      <c r="O44" s="7">
        <f t="shared" si="0"/>
        <v>0</v>
      </c>
    </row>
    <row r="45" spans="1:15" ht="58" x14ac:dyDescent="0.35">
      <c r="A45" s="4" t="s">
        <v>104</v>
      </c>
      <c r="B45" s="3" t="s">
        <v>9</v>
      </c>
      <c r="C45" s="3">
        <v>0.5</v>
      </c>
      <c r="D45" s="3" t="s">
        <v>11</v>
      </c>
      <c r="E45" s="2" t="s">
        <v>11</v>
      </c>
      <c r="F45" s="3" t="s">
        <v>105</v>
      </c>
      <c r="H45" s="4" t="s">
        <v>104</v>
      </c>
      <c r="I45" s="3" t="s">
        <v>9</v>
      </c>
      <c r="J45" s="3">
        <v>0.5</v>
      </c>
      <c r="K45" s="3" t="s">
        <v>11</v>
      </c>
      <c r="L45" s="2" t="s">
        <v>11</v>
      </c>
      <c r="M45" s="3" t="s">
        <v>105</v>
      </c>
      <c r="N45" s="3"/>
      <c r="O45" s="7">
        <f t="shared" si="0"/>
        <v>0</v>
      </c>
    </row>
    <row r="46" spans="1:15" ht="58" x14ac:dyDescent="0.35">
      <c r="A46" s="4" t="s">
        <v>106</v>
      </c>
      <c r="B46" s="3" t="s">
        <v>9</v>
      </c>
      <c r="C46" s="3">
        <v>0.15</v>
      </c>
      <c r="D46" s="3" t="s">
        <v>11</v>
      </c>
      <c r="E46" s="2" t="s">
        <v>11</v>
      </c>
      <c r="F46" s="3" t="s">
        <v>107</v>
      </c>
      <c r="H46" s="4" t="s">
        <v>106</v>
      </c>
      <c r="I46" s="3" t="s">
        <v>9</v>
      </c>
      <c r="J46" s="3">
        <v>0.15</v>
      </c>
      <c r="K46" s="3" t="s">
        <v>11</v>
      </c>
      <c r="L46" s="2" t="s">
        <v>11</v>
      </c>
      <c r="M46" s="3" t="s">
        <v>107</v>
      </c>
      <c r="N46" s="3"/>
      <c r="O46" s="7">
        <f t="shared" si="0"/>
        <v>0</v>
      </c>
    </row>
    <row r="47" spans="1:15" ht="58" x14ac:dyDescent="0.35">
      <c r="A47" s="4" t="s">
        <v>108</v>
      </c>
      <c r="B47" s="3" t="s">
        <v>9</v>
      </c>
      <c r="C47" s="3">
        <v>1</v>
      </c>
      <c r="D47" s="3" t="s">
        <v>11</v>
      </c>
      <c r="E47" s="2" t="s">
        <v>11</v>
      </c>
      <c r="F47" s="3" t="s">
        <v>109</v>
      </c>
      <c r="H47" s="4" t="s">
        <v>108</v>
      </c>
      <c r="I47" s="3" t="s">
        <v>9</v>
      </c>
      <c r="J47" s="3">
        <v>1</v>
      </c>
      <c r="K47" s="3" t="s">
        <v>11</v>
      </c>
      <c r="L47" s="2" t="s">
        <v>11</v>
      </c>
      <c r="M47" s="3" t="s">
        <v>109</v>
      </c>
      <c r="N47" s="3"/>
      <c r="O47" s="7">
        <f t="shared" si="0"/>
        <v>0</v>
      </c>
    </row>
    <row r="48" spans="1:15" ht="58" x14ac:dyDescent="0.35">
      <c r="A48" s="4" t="s">
        <v>110</v>
      </c>
      <c r="B48" s="3" t="s">
        <v>9</v>
      </c>
      <c r="C48" s="3">
        <v>1.8</v>
      </c>
      <c r="D48" s="3" t="s">
        <v>11</v>
      </c>
      <c r="E48" s="2" t="s">
        <v>11</v>
      </c>
      <c r="F48" s="3" t="s">
        <v>111</v>
      </c>
      <c r="H48" s="4" t="s">
        <v>110</v>
      </c>
      <c r="I48" s="3" t="s">
        <v>9</v>
      </c>
      <c r="J48" s="3">
        <v>1.8</v>
      </c>
      <c r="K48" s="3" t="s">
        <v>11</v>
      </c>
      <c r="L48" s="2" t="s">
        <v>11</v>
      </c>
      <c r="M48" s="3" t="s">
        <v>111</v>
      </c>
      <c r="N48" s="3"/>
      <c r="O48" s="7">
        <f t="shared" si="0"/>
        <v>0</v>
      </c>
    </row>
    <row r="49" spans="1:15" ht="58" x14ac:dyDescent="0.35">
      <c r="A49" s="4" t="s">
        <v>112</v>
      </c>
      <c r="B49" s="3" t="s">
        <v>9</v>
      </c>
      <c r="C49" s="3">
        <v>0.5</v>
      </c>
      <c r="D49" s="3" t="s">
        <v>11</v>
      </c>
      <c r="E49" s="2" t="s">
        <v>11</v>
      </c>
      <c r="F49" s="3" t="s">
        <v>113</v>
      </c>
      <c r="H49" s="4" t="s">
        <v>112</v>
      </c>
      <c r="I49" s="3" t="s">
        <v>9</v>
      </c>
      <c r="J49" s="3">
        <v>0.5</v>
      </c>
      <c r="K49" s="3" t="s">
        <v>11</v>
      </c>
      <c r="L49" s="2" t="s">
        <v>11</v>
      </c>
      <c r="M49" s="3" t="s">
        <v>113</v>
      </c>
      <c r="N49" s="3"/>
      <c r="O49" s="7">
        <f t="shared" si="0"/>
        <v>0</v>
      </c>
    </row>
    <row r="50" spans="1:15" ht="58" x14ac:dyDescent="0.35">
      <c r="A50" s="4" t="s">
        <v>114</v>
      </c>
      <c r="B50" s="3" t="s">
        <v>9</v>
      </c>
      <c r="C50" s="3">
        <v>0.15</v>
      </c>
      <c r="D50" s="3" t="s">
        <v>11</v>
      </c>
      <c r="E50" s="2" t="s">
        <v>11</v>
      </c>
      <c r="F50" s="3" t="s">
        <v>115</v>
      </c>
      <c r="H50" s="4" t="s">
        <v>114</v>
      </c>
      <c r="I50" s="3" t="s">
        <v>9</v>
      </c>
      <c r="J50" s="3">
        <v>0.15</v>
      </c>
      <c r="K50" s="3" t="s">
        <v>11</v>
      </c>
      <c r="L50" s="2" t="s">
        <v>11</v>
      </c>
      <c r="M50" s="3" t="s">
        <v>115</v>
      </c>
      <c r="N50" s="3"/>
      <c r="O50" s="7">
        <f t="shared" si="0"/>
        <v>0</v>
      </c>
    </row>
    <row r="51" spans="1:15" ht="58" x14ac:dyDescent="0.35">
      <c r="A51" s="4" t="s">
        <v>116</v>
      </c>
      <c r="B51" s="3" t="s">
        <v>9</v>
      </c>
      <c r="C51" s="3">
        <v>1</v>
      </c>
      <c r="D51" s="3" t="s">
        <v>11</v>
      </c>
      <c r="E51" s="2" t="s">
        <v>11</v>
      </c>
      <c r="F51" s="3" t="s">
        <v>117</v>
      </c>
      <c r="H51" s="4" t="s">
        <v>116</v>
      </c>
      <c r="I51" s="3" t="s">
        <v>9</v>
      </c>
      <c r="J51" s="3">
        <v>1</v>
      </c>
      <c r="K51" s="3" t="s">
        <v>11</v>
      </c>
      <c r="L51" s="2" t="s">
        <v>11</v>
      </c>
      <c r="M51" s="3" t="s">
        <v>117</v>
      </c>
      <c r="N51" s="3"/>
      <c r="O51" s="7">
        <f t="shared" si="0"/>
        <v>0</v>
      </c>
    </row>
    <row r="52" spans="1:15" ht="58" x14ac:dyDescent="0.35">
      <c r="A52" s="4" t="s">
        <v>118</v>
      </c>
      <c r="B52" s="3" t="s">
        <v>9</v>
      </c>
      <c r="C52" s="3">
        <v>0</v>
      </c>
      <c r="D52" s="3" t="s">
        <v>11</v>
      </c>
      <c r="E52" s="2" t="s">
        <v>11</v>
      </c>
      <c r="F52" s="3" t="s">
        <v>119</v>
      </c>
      <c r="H52" s="4" t="s">
        <v>118</v>
      </c>
      <c r="I52" s="3" t="s">
        <v>9</v>
      </c>
      <c r="J52" s="3">
        <v>0</v>
      </c>
      <c r="K52" s="3" t="s">
        <v>11</v>
      </c>
      <c r="L52" s="2" t="s">
        <v>11</v>
      </c>
      <c r="M52" s="3" t="s">
        <v>119</v>
      </c>
      <c r="N52" s="3"/>
      <c r="O52" s="7" t="e">
        <f t="shared" si="0"/>
        <v>#DIV/0!</v>
      </c>
    </row>
    <row r="53" spans="1:15" ht="58" x14ac:dyDescent="0.35">
      <c r="A53" s="4" t="s">
        <v>120</v>
      </c>
      <c r="B53" s="3" t="s">
        <v>9</v>
      </c>
      <c r="C53" s="3">
        <v>2</v>
      </c>
      <c r="D53" s="3" t="s">
        <v>11</v>
      </c>
      <c r="E53" s="2" t="s">
        <v>11</v>
      </c>
      <c r="F53" s="3" t="s">
        <v>121</v>
      </c>
      <c r="H53" s="4" t="s">
        <v>120</v>
      </c>
      <c r="I53" s="3" t="s">
        <v>9</v>
      </c>
      <c r="J53" s="3">
        <v>2</v>
      </c>
      <c r="K53" s="3" t="s">
        <v>11</v>
      </c>
      <c r="L53" s="2" t="s">
        <v>11</v>
      </c>
      <c r="M53" s="3" t="s">
        <v>121</v>
      </c>
      <c r="N53" s="3"/>
      <c r="O53" s="7">
        <f t="shared" si="0"/>
        <v>0</v>
      </c>
    </row>
    <row r="54" spans="1:15" ht="58" x14ac:dyDescent="0.35">
      <c r="A54" s="4" t="s">
        <v>122</v>
      </c>
      <c r="B54" s="3" t="s">
        <v>9</v>
      </c>
      <c r="C54" s="3">
        <v>0</v>
      </c>
      <c r="D54" s="3" t="s">
        <v>11</v>
      </c>
      <c r="E54" s="2" t="s">
        <v>11</v>
      </c>
      <c r="F54" s="3" t="s">
        <v>123</v>
      </c>
      <c r="H54" s="4" t="s">
        <v>122</v>
      </c>
      <c r="I54" s="3" t="s">
        <v>9</v>
      </c>
      <c r="J54" s="3">
        <v>0</v>
      </c>
      <c r="K54" s="3" t="s">
        <v>11</v>
      </c>
      <c r="L54" s="2" t="s">
        <v>11</v>
      </c>
      <c r="M54" s="3" t="s">
        <v>123</v>
      </c>
      <c r="N54" s="3"/>
      <c r="O54" s="7" t="e">
        <f t="shared" si="0"/>
        <v>#DIV/0!</v>
      </c>
    </row>
    <row r="55" spans="1:15" ht="58" x14ac:dyDescent="0.35">
      <c r="A55" s="4" t="s">
        <v>124</v>
      </c>
      <c r="B55" s="3" t="s">
        <v>9</v>
      </c>
      <c r="C55" s="3">
        <v>0</v>
      </c>
      <c r="D55" s="3" t="s">
        <v>11</v>
      </c>
      <c r="E55" s="2" t="s">
        <v>11</v>
      </c>
      <c r="F55" s="3" t="s">
        <v>125</v>
      </c>
      <c r="H55" s="4" t="s">
        <v>124</v>
      </c>
      <c r="I55" s="3" t="s">
        <v>9</v>
      </c>
      <c r="J55" s="3">
        <v>0</v>
      </c>
      <c r="K55" s="3" t="s">
        <v>11</v>
      </c>
      <c r="L55" s="2" t="s">
        <v>11</v>
      </c>
      <c r="M55" s="3" t="s">
        <v>125</v>
      </c>
      <c r="N55" s="3"/>
      <c r="O55" s="7" t="e">
        <f t="shared" si="0"/>
        <v>#DIV/0!</v>
      </c>
    </row>
    <row r="56" spans="1:15" ht="58" x14ac:dyDescent="0.35">
      <c r="A56" s="4" t="s">
        <v>126</v>
      </c>
      <c r="B56" s="3" t="s">
        <v>9</v>
      </c>
      <c r="C56" s="3">
        <v>2</v>
      </c>
      <c r="D56" s="3" t="s">
        <v>11</v>
      </c>
      <c r="E56" s="2" t="s">
        <v>11</v>
      </c>
      <c r="F56" s="3" t="s">
        <v>127</v>
      </c>
      <c r="H56" s="4" t="s">
        <v>126</v>
      </c>
      <c r="I56" s="3" t="s">
        <v>9</v>
      </c>
      <c r="J56" s="3">
        <v>2</v>
      </c>
      <c r="K56" s="3" t="s">
        <v>11</v>
      </c>
      <c r="L56" s="2" t="s">
        <v>11</v>
      </c>
      <c r="M56" s="3" t="s">
        <v>127</v>
      </c>
      <c r="N56" s="3"/>
      <c r="O56" s="7">
        <f t="shared" si="0"/>
        <v>0</v>
      </c>
    </row>
    <row r="57" spans="1:15" ht="58" x14ac:dyDescent="0.35">
      <c r="A57" s="4" t="s">
        <v>128</v>
      </c>
      <c r="B57" s="3" t="s">
        <v>9</v>
      </c>
      <c r="C57" s="3">
        <v>1</v>
      </c>
      <c r="D57" s="3" t="s">
        <v>11</v>
      </c>
      <c r="E57" s="2" t="s">
        <v>11</v>
      </c>
      <c r="F57" s="3" t="s">
        <v>129</v>
      </c>
      <c r="H57" s="4" t="s">
        <v>128</v>
      </c>
      <c r="I57" s="3" t="s">
        <v>9</v>
      </c>
      <c r="J57" s="3">
        <v>1</v>
      </c>
      <c r="K57" s="3" t="s">
        <v>11</v>
      </c>
      <c r="L57" s="2" t="s">
        <v>11</v>
      </c>
      <c r="M57" s="3" t="s">
        <v>129</v>
      </c>
      <c r="N57" s="3"/>
      <c r="O57" s="7">
        <f t="shared" si="0"/>
        <v>0</v>
      </c>
    </row>
    <row r="58" spans="1:15" ht="58" x14ac:dyDescent="0.35">
      <c r="A58" s="4" t="s">
        <v>130</v>
      </c>
      <c r="B58" s="3" t="s">
        <v>9</v>
      </c>
      <c r="C58" s="3">
        <v>0</v>
      </c>
      <c r="D58" s="3" t="s">
        <v>11</v>
      </c>
      <c r="E58" s="2" t="s">
        <v>11</v>
      </c>
      <c r="F58" s="3" t="s">
        <v>131</v>
      </c>
      <c r="H58" s="4" t="s">
        <v>130</v>
      </c>
      <c r="I58" s="3" t="s">
        <v>9</v>
      </c>
      <c r="J58" s="3">
        <v>0</v>
      </c>
      <c r="K58" s="3" t="s">
        <v>11</v>
      </c>
      <c r="L58" s="2" t="s">
        <v>11</v>
      </c>
      <c r="M58" s="3" t="s">
        <v>131</v>
      </c>
      <c r="N58" s="3"/>
      <c r="O58" s="7" t="e">
        <f t="shared" si="0"/>
        <v>#DIV/0!</v>
      </c>
    </row>
    <row r="59" spans="1:15" ht="58" x14ac:dyDescent="0.35">
      <c r="A59" s="4" t="s">
        <v>132</v>
      </c>
      <c r="B59" s="3" t="s">
        <v>9</v>
      </c>
      <c r="C59" s="3">
        <v>0</v>
      </c>
      <c r="D59" s="3" t="s">
        <v>11</v>
      </c>
      <c r="E59" s="2" t="s">
        <v>11</v>
      </c>
      <c r="F59" s="3" t="s">
        <v>133</v>
      </c>
      <c r="H59" s="4" t="s">
        <v>132</v>
      </c>
      <c r="I59" s="3" t="s">
        <v>9</v>
      </c>
      <c r="J59" s="3">
        <v>0</v>
      </c>
      <c r="K59" s="3" t="s">
        <v>11</v>
      </c>
      <c r="L59" s="2" t="s">
        <v>11</v>
      </c>
      <c r="M59" s="3" t="s">
        <v>133</v>
      </c>
      <c r="N59" s="3"/>
      <c r="O59" s="7" t="e">
        <f t="shared" si="0"/>
        <v>#DIV/0!</v>
      </c>
    </row>
    <row r="60" spans="1:15" ht="58" x14ac:dyDescent="0.35">
      <c r="A60" s="4" t="s">
        <v>134</v>
      </c>
      <c r="B60" s="3" t="s">
        <v>9</v>
      </c>
      <c r="C60" s="3">
        <v>0</v>
      </c>
      <c r="D60" s="3" t="s">
        <v>11</v>
      </c>
      <c r="E60" s="2" t="s">
        <v>11</v>
      </c>
      <c r="F60" s="3" t="s">
        <v>135</v>
      </c>
      <c r="H60" s="4" t="s">
        <v>134</v>
      </c>
      <c r="I60" s="3" t="s">
        <v>9</v>
      </c>
      <c r="J60" s="3">
        <v>0</v>
      </c>
      <c r="K60" s="3" t="s">
        <v>11</v>
      </c>
      <c r="L60" s="2" t="s">
        <v>11</v>
      </c>
      <c r="M60" s="3" t="s">
        <v>135</v>
      </c>
      <c r="N60" s="3"/>
      <c r="O60" s="7" t="e">
        <f t="shared" si="0"/>
        <v>#DIV/0!</v>
      </c>
    </row>
    <row r="61" spans="1:15" ht="58" x14ac:dyDescent="0.35">
      <c r="A61" s="4" t="s">
        <v>136</v>
      </c>
      <c r="B61" s="3" t="s">
        <v>9</v>
      </c>
      <c r="C61" s="3">
        <v>2</v>
      </c>
      <c r="D61" s="3" t="s">
        <v>11</v>
      </c>
      <c r="E61" s="2" t="s">
        <v>11</v>
      </c>
      <c r="F61" s="3" t="s">
        <v>137</v>
      </c>
      <c r="H61" s="4" t="s">
        <v>136</v>
      </c>
      <c r="I61" s="3" t="s">
        <v>9</v>
      </c>
      <c r="J61" s="3">
        <v>2</v>
      </c>
      <c r="K61" s="3" t="s">
        <v>11</v>
      </c>
      <c r="L61" s="2" t="s">
        <v>11</v>
      </c>
      <c r="M61" s="3" t="s">
        <v>137</v>
      </c>
      <c r="N61" s="3"/>
      <c r="O61" s="7">
        <f t="shared" si="0"/>
        <v>0</v>
      </c>
    </row>
    <row r="62" spans="1:15" ht="58" x14ac:dyDescent="0.35">
      <c r="A62" s="4" t="s">
        <v>138</v>
      </c>
      <c r="B62" s="3" t="s">
        <v>9</v>
      </c>
      <c r="C62" s="3">
        <v>0</v>
      </c>
      <c r="D62" s="3" t="s">
        <v>11</v>
      </c>
      <c r="E62" s="2" t="s">
        <v>11</v>
      </c>
      <c r="F62" s="3" t="s">
        <v>139</v>
      </c>
      <c r="H62" s="4" t="s">
        <v>138</v>
      </c>
      <c r="I62" s="3" t="s">
        <v>9</v>
      </c>
      <c r="J62" s="3">
        <v>0</v>
      </c>
      <c r="K62" s="3" t="s">
        <v>11</v>
      </c>
      <c r="L62" s="2" t="s">
        <v>11</v>
      </c>
      <c r="M62" s="3" t="s">
        <v>139</v>
      </c>
      <c r="N62" s="3"/>
      <c r="O62" s="7" t="e">
        <f t="shared" si="0"/>
        <v>#DIV/0!</v>
      </c>
    </row>
    <row r="63" spans="1:15" ht="58" x14ac:dyDescent="0.35">
      <c r="A63" s="4" t="s">
        <v>140</v>
      </c>
      <c r="B63" s="3" t="s">
        <v>9</v>
      </c>
      <c r="C63" s="3">
        <v>0</v>
      </c>
      <c r="D63" s="3" t="s">
        <v>11</v>
      </c>
      <c r="E63" s="2" t="s">
        <v>11</v>
      </c>
      <c r="F63" s="3" t="s">
        <v>141</v>
      </c>
      <c r="H63" s="4" t="s">
        <v>140</v>
      </c>
      <c r="I63" s="3" t="s">
        <v>9</v>
      </c>
      <c r="J63" s="3">
        <v>0</v>
      </c>
      <c r="K63" s="3" t="s">
        <v>11</v>
      </c>
      <c r="L63" s="2" t="s">
        <v>11</v>
      </c>
      <c r="M63" s="3" t="s">
        <v>141</v>
      </c>
      <c r="N63" s="3"/>
      <c r="O63" s="7" t="e">
        <f t="shared" si="0"/>
        <v>#DIV/0!</v>
      </c>
    </row>
    <row r="64" spans="1:15" ht="72.5" x14ac:dyDescent="0.35">
      <c r="A64" s="4" t="s">
        <v>142</v>
      </c>
      <c r="B64" s="3" t="s">
        <v>9</v>
      </c>
      <c r="C64" s="3">
        <v>3</v>
      </c>
      <c r="D64" s="3" t="s">
        <v>11</v>
      </c>
      <c r="E64" s="2" t="s">
        <v>11</v>
      </c>
      <c r="F64" s="3" t="s">
        <v>143</v>
      </c>
      <c r="H64" s="4" t="s">
        <v>142</v>
      </c>
      <c r="I64" s="3" t="s">
        <v>9</v>
      </c>
      <c r="J64" s="3">
        <v>3</v>
      </c>
      <c r="K64" s="3" t="s">
        <v>11</v>
      </c>
      <c r="L64" s="2" t="s">
        <v>11</v>
      </c>
      <c r="M64" s="3" t="s">
        <v>143</v>
      </c>
      <c r="N64" s="3"/>
      <c r="O64" s="7">
        <f t="shared" si="0"/>
        <v>0</v>
      </c>
    </row>
    <row r="65" spans="1:15" ht="58" x14ac:dyDescent="0.35">
      <c r="A65" s="4" t="s">
        <v>144</v>
      </c>
      <c r="B65" s="3" t="s">
        <v>9</v>
      </c>
      <c r="C65" s="3">
        <v>0</v>
      </c>
      <c r="D65" s="3" t="s">
        <v>11</v>
      </c>
      <c r="E65" s="2" t="s">
        <v>11</v>
      </c>
      <c r="F65" s="3" t="s">
        <v>145</v>
      </c>
      <c r="H65" s="4" t="s">
        <v>144</v>
      </c>
      <c r="I65" s="3" t="s">
        <v>9</v>
      </c>
      <c r="J65" s="3">
        <v>0</v>
      </c>
      <c r="K65" s="3" t="s">
        <v>11</v>
      </c>
      <c r="L65" s="2" t="s">
        <v>11</v>
      </c>
      <c r="M65" s="3" t="s">
        <v>145</v>
      </c>
      <c r="N65" s="3"/>
      <c r="O65" s="7" t="e">
        <f t="shared" si="0"/>
        <v>#DIV/0!</v>
      </c>
    </row>
    <row r="66" spans="1:15" ht="72.5" x14ac:dyDescent="0.35">
      <c r="A66" s="4" t="s">
        <v>146</v>
      </c>
      <c r="B66" s="3" t="s">
        <v>9</v>
      </c>
      <c r="C66" s="3">
        <v>1</v>
      </c>
      <c r="D66" s="3" t="s">
        <v>11</v>
      </c>
      <c r="E66" s="2" t="s">
        <v>11</v>
      </c>
      <c r="F66" s="3" t="s">
        <v>147</v>
      </c>
      <c r="H66" s="4" t="s">
        <v>146</v>
      </c>
      <c r="I66" s="3" t="s">
        <v>9</v>
      </c>
      <c r="J66" s="3">
        <v>1</v>
      </c>
      <c r="K66" s="3" t="s">
        <v>11</v>
      </c>
      <c r="L66" s="2" t="s">
        <v>11</v>
      </c>
      <c r="M66" s="3" t="s">
        <v>147</v>
      </c>
      <c r="N66" s="3"/>
      <c r="O66" s="7">
        <f t="shared" si="0"/>
        <v>0</v>
      </c>
    </row>
    <row r="67" spans="1:15" ht="58" x14ac:dyDescent="0.35">
      <c r="A67" s="4" t="s">
        <v>148</v>
      </c>
      <c r="B67" s="3" t="s">
        <v>9</v>
      </c>
      <c r="C67" s="3">
        <v>1</v>
      </c>
      <c r="D67" s="3">
        <v>20</v>
      </c>
      <c r="E67" s="2" t="s">
        <v>11</v>
      </c>
      <c r="F67" s="3" t="s">
        <v>149</v>
      </c>
      <c r="H67" s="4" t="s">
        <v>148</v>
      </c>
      <c r="I67" s="3" t="s">
        <v>9</v>
      </c>
      <c r="J67" s="3">
        <v>1</v>
      </c>
      <c r="K67" s="3">
        <v>20</v>
      </c>
      <c r="L67" s="2" t="s">
        <v>11</v>
      </c>
      <c r="M67" s="3" t="s">
        <v>149</v>
      </c>
      <c r="N67" s="3"/>
      <c r="O67" s="7">
        <f t="shared" si="0"/>
        <v>0</v>
      </c>
    </row>
    <row r="68" spans="1:15" ht="58" x14ac:dyDescent="0.35">
      <c r="A68" s="4" t="s">
        <v>150</v>
      </c>
      <c r="B68" s="3" t="s">
        <v>38</v>
      </c>
      <c r="C68" s="3">
        <v>49.494399999999999</v>
      </c>
      <c r="D68" s="3">
        <v>20</v>
      </c>
      <c r="E68" s="2" t="s">
        <v>11</v>
      </c>
      <c r="F68" s="3" t="s">
        <v>151</v>
      </c>
      <c r="H68" s="4" t="s">
        <v>150</v>
      </c>
      <c r="I68" s="3" t="s">
        <v>38</v>
      </c>
      <c r="J68" s="3">
        <v>126.054</v>
      </c>
      <c r="K68" s="3">
        <v>20</v>
      </c>
      <c r="L68" s="2" t="s">
        <v>11</v>
      </c>
      <c r="M68" s="3" t="s">
        <v>151</v>
      </c>
      <c r="N68" s="3"/>
      <c r="O68" s="7">
        <f t="shared" ref="O68:O131" si="1">ABS(C68-J68)/ABS(C68)</f>
        <v>1.5468335811728195</v>
      </c>
    </row>
    <row r="69" spans="1:15" ht="58" x14ac:dyDescent="0.35">
      <c r="A69" s="4" t="s">
        <v>152</v>
      </c>
      <c r="B69" s="3" t="s">
        <v>153</v>
      </c>
      <c r="C69" s="3">
        <v>23.9</v>
      </c>
      <c r="D69" s="3" t="s">
        <v>11</v>
      </c>
      <c r="E69" s="2" t="s">
        <v>11</v>
      </c>
      <c r="F69" s="3" t="s">
        <v>154</v>
      </c>
      <c r="H69" s="4" t="s">
        <v>152</v>
      </c>
      <c r="I69" s="3" t="s">
        <v>153</v>
      </c>
      <c r="J69" s="3">
        <v>23.9</v>
      </c>
      <c r="K69" s="3" t="s">
        <v>11</v>
      </c>
      <c r="L69" s="2" t="s">
        <v>11</v>
      </c>
      <c r="M69" s="3" t="s">
        <v>154</v>
      </c>
      <c r="N69" s="3"/>
      <c r="O69" s="7">
        <f t="shared" si="1"/>
        <v>0</v>
      </c>
    </row>
    <row r="70" spans="1:15" ht="72.5" x14ac:dyDescent="0.35">
      <c r="A70" s="4" t="s">
        <v>155</v>
      </c>
      <c r="B70" s="3" t="s">
        <v>153</v>
      </c>
      <c r="C70" s="3">
        <v>23.9</v>
      </c>
      <c r="D70" s="3" t="s">
        <v>11</v>
      </c>
      <c r="E70" s="2" t="s">
        <v>11</v>
      </c>
      <c r="F70" s="3" t="s">
        <v>156</v>
      </c>
      <c r="H70" s="4" t="s">
        <v>155</v>
      </c>
      <c r="I70" s="3" t="s">
        <v>153</v>
      </c>
      <c r="J70" s="3">
        <v>23.9</v>
      </c>
      <c r="K70" s="3" t="s">
        <v>11</v>
      </c>
      <c r="L70" s="2" t="s">
        <v>11</v>
      </c>
      <c r="M70" s="3" t="s">
        <v>156</v>
      </c>
      <c r="N70" s="3"/>
      <c r="O70" s="7">
        <f t="shared" si="1"/>
        <v>0</v>
      </c>
    </row>
    <row r="71" spans="1:15" ht="72.5" x14ac:dyDescent="0.35">
      <c r="A71" s="4" t="s">
        <v>157</v>
      </c>
      <c r="B71" s="3" t="s">
        <v>153</v>
      </c>
      <c r="C71" s="3">
        <v>23.9</v>
      </c>
      <c r="D71" s="3" t="s">
        <v>11</v>
      </c>
      <c r="E71" s="2" t="s">
        <v>11</v>
      </c>
      <c r="F71" s="3" t="s">
        <v>158</v>
      </c>
      <c r="H71" s="4" t="s">
        <v>157</v>
      </c>
      <c r="I71" s="3" t="s">
        <v>153</v>
      </c>
      <c r="J71" s="3">
        <v>23.9</v>
      </c>
      <c r="K71" s="3" t="s">
        <v>11</v>
      </c>
      <c r="L71" s="2" t="s">
        <v>11</v>
      </c>
      <c r="M71" s="3" t="s">
        <v>158</v>
      </c>
      <c r="N71" s="3"/>
      <c r="O71" s="7">
        <f t="shared" si="1"/>
        <v>0</v>
      </c>
    </row>
    <row r="72" spans="1:15" ht="87" x14ac:dyDescent="0.35">
      <c r="A72" s="4" t="s">
        <v>159</v>
      </c>
      <c r="B72" s="3" t="s">
        <v>153</v>
      </c>
      <c r="C72" s="3">
        <v>23.9</v>
      </c>
      <c r="D72" s="3" t="s">
        <v>11</v>
      </c>
      <c r="E72" s="2" t="s">
        <v>11</v>
      </c>
      <c r="F72" s="3" t="s">
        <v>160</v>
      </c>
      <c r="H72" s="4" t="s">
        <v>159</v>
      </c>
      <c r="I72" s="3" t="s">
        <v>153</v>
      </c>
      <c r="J72" s="3">
        <v>23.9</v>
      </c>
      <c r="K72" s="3" t="s">
        <v>11</v>
      </c>
      <c r="L72" s="2" t="s">
        <v>11</v>
      </c>
      <c r="M72" s="3" t="s">
        <v>160</v>
      </c>
      <c r="N72" s="3"/>
      <c r="O72" s="7">
        <f t="shared" si="1"/>
        <v>0</v>
      </c>
    </row>
    <row r="73" spans="1:15" ht="72.5" x14ac:dyDescent="0.35">
      <c r="A73" s="4" t="s">
        <v>161</v>
      </c>
      <c r="B73" s="3" t="s">
        <v>162</v>
      </c>
      <c r="C73" s="3">
        <v>8.3681999999999993E-3</v>
      </c>
      <c r="D73" s="3" t="s">
        <v>11</v>
      </c>
      <c r="E73" s="2" t="s">
        <v>11</v>
      </c>
      <c r="F73" s="3" t="s">
        <v>163</v>
      </c>
      <c r="H73" s="4" t="s">
        <v>161</v>
      </c>
      <c r="I73" s="3" t="s">
        <v>162</v>
      </c>
      <c r="J73" s="3">
        <v>8.3681999999999993E-3</v>
      </c>
      <c r="K73" s="3" t="s">
        <v>11</v>
      </c>
      <c r="L73" s="2" t="s">
        <v>11</v>
      </c>
      <c r="M73" s="3" t="s">
        <v>163</v>
      </c>
      <c r="N73" s="3"/>
      <c r="O73" s="7">
        <f t="shared" si="1"/>
        <v>0</v>
      </c>
    </row>
    <row r="74" spans="1:15" ht="58" x14ac:dyDescent="0.35">
      <c r="A74" s="4" t="s">
        <v>164</v>
      </c>
      <c r="B74" s="3" t="s">
        <v>165</v>
      </c>
      <c r="C74" s="3">
        <v>0.88070800000000005</v>
      </c>
      <c r="D74" s="3" t="s">
        <v>11</v>
      </c>
      <c r="E74" s="2" t="s">
        <v>11</v>
      </c>
      <c r="F74" s="3" t="s">
        <v>166</v>
      </c>
      <c r="H74" s="4" t="s">
        <v>164</v>
      </c>
      <c r="I74" s="3" t="s">
        <v>165</v>
      </c>
      <c r="J74" s="3">
        <v>0.88143099999999996</v>
      </c>
      <c r="K74" s="3" t="s">
        <v>11</v>
      </c>
      <c r="L74" s="2" t="s">
        <v>11</v>
      </c>
      <c r="M74" s="3" t="s">
        <v>166</v>
      </c>
      <c r="N74" s="3"/>
      <c r="O74" s="7">
        <f t="shared" si="1"/>
        <v>8.2093043324225293E-4</v>
      </c>
    </row>
    <row r="75" spans="1:15" ht="58" x14ac:dyDescent="0.35">
      <c r="A75" s="4" t="s">
        <v>167</v>
      </c>
      <c r="B75" s="3" t="s">
        <v>165</v>
      </c>
      <c r="C75" s="3">
        <v>1.1354500000000001</v>
      </c>
      <c r="D75" s="3" t="s">
        <v>11</v>
      </c>
      <c r="E75" s="2" t="s">
        <v>11</v>
      </c>
      <c r="F75" s="3" t="s">
        <v>168</v>
      </c>
      <c r="H75" s="4" t="s">
        <v>167</v>
      </c>
      <c r="I75" s="3" t="s">
        <v>165</v>
      </c>
      <c r="J75" s="3">
        <v>1.13452</v>
      </c>
      <c r="K75" s="3" t="s">
        <v>11</v>
      </c>
      <c r="L75" s="2" t="s">
        <v>11</v>
      </c>
      <c r="M75" s="3" t="s">
        <v>168</v>
      </c>
      <c r="N75" s="3"/>
      <c r="O75" s="7">
        <f t="shared" si="1"/>
        <v>8.1905852305261999E-4</v>
      </c>
    </row>
    <row r="76" spans="1:15" ht="72.5" x14ac:dyDescent="0.35">
      <c r="A76" s="4" t="s">
        <v>169</v>
      </c>
      <c r="B76" s="3" t="s">
        <v>41</v>
      </c>
      <c r="C76" s="3">
        <v>3.13615E-2</v>
      </c>
      <c r="D76" s="3">
        <v>20</v>
      </c>
      <c r="E76" s="2" t="s">
        <v>11</v>
      </c>
      <c r="F76" s="3" t="s">
        <v>170</v>
      </c>
      <c r="H76" s="4" t="s">
        <v>169</v>
      </c>
      <c r="I76" s="3" t="s">
        <v>41</v>
      </c>
      <c r="J76" s="3">
        <v>4.0443100000000003E-2</v>
      </c>
      <c r="K76" s="3">
        <v>20</v>
      </c>
      <c r="L76" s="2" t="s">
        <v>11</v>
      </c>
      <c r="M76" s="3" t="s">
        <v>170</v>
      </c>
      <c r="N76" s="3"/>
      <c r="O76" s="7">
        <f t="shared" si="1"/>
        <v>0.28957798574685528</v>
      </c>
    </row>
    <row r="77" spans="1:15" ht="29" x14ac:dyDescent="0.35">
      <c r="A77" s="4" t="s">
        <v>171</v>
      </c>
      <c r="B77" s="3" t="s">
        <v>9</v>
      </c>
      <c r="C77" s="3">
        <v>6.3772499999999996E-2</v>
      </c>
      <c r="D77" s="3" t="s">
        <v>11</v>
      </c>
      <c r="E77" s="2" t="s">
        <v>11</v>
      </c>
      <c r="F77" s="3" t="s">
        <v>172</v>
      </c>
      <c r="H77" s="4" t="s">
        <v>171</v>
      </c>
      <c r="I77" s="3" t="s">
        <v>9</v>
      </c>
      <c r="J77" s="3">
        <v>4.9452200000000002E-2</v>
      </c>
      <c r="K77" s="3" t="s">
        <v>11</v>
      </c>
      <c r="L77" s="2" t="s">
        <v>11</v>
      </c>
      <c r="M77" s="3" t="s">
        <v>172</v>
      </c>
      <c r="N77" s="3"/>
      <c r="O77" s="7">
        <f t="shared" si="1"/>
        <v>0.22455290289701665</v>
      </c>
    </row>
    <row r="78" spans="1:15" ht="43.5" x14ac:dyDescent="0.35">
      <c r="A78" s="4" t="s">
        <v>173</v>
      </c>
      <c r="B78" s="3" t="s">
        <v>44</v>
      </c>
      <c r="C78" s="3">
        <v>2557.5100000000002</v>
      </c>
      <c r="D78" s="3" t="s">
        <v>11</v>
      </c>
      <c r="E78" s="2" t="s">
        <v>11</v>
      </c>
      <c r="F78" s="3" t="s">
        <v>174</v>
      </c>
      <c r="H78" s="4" t="s">
        <v>173</v>
      </c>
      <c r="I78" s="3" t="s">
        <v>44</v>
      </c>
      <c r="J78" s="3">
        <v>6816.8</v>
      </c>
      <c r="K78" s="3" t="s">
        <v>11</v>
      </c>
      <c r="L78" s="2" t="s">
        <v>11</v>
      </c>
      <c r="M78" s="3" t="s">
        <v>174</v>
      </c>
      <c r="N78" s="3"/>
      <c r="O78" s="7">
        <f t="shared" si="1"/>
        <v>1.6654050228542605</v>
      </c>
    </row>
    <row r="79" spans="1:15" ht="29" x14ac:dyDescent="0.35">
      <c r="A79" s="4" t="s">
        <v>175</v>
      </c>
      <c r="B79" s="3" t="s">
        <v>165</v>
      </c>
      <c r="C79" s="3">
        <v>0.55567800000000001</v>
      </c>
      <c r="D79" s="3" t="s">
        <v>11</v>
      </c>
      <c r="E79" s="2" t="s">
        <v>11</v>
      </c>
      <c r="F79" s="3" t="s">
        <v>176</v>
      </c>
      <c r="H79" s="4" t="s">
        <v>175</v>
      </c>
      <c r="I79" s="3" t="s">
        <v>165</v>
      </c>
      <c r="J79" s="3">
        <v>1.4811000000000001</v>
      </c>
      <c r="K79" s="3" t="s">
        <v>11</v>
      </c>
      <c r="L79" s="2" t="s">
        <v>11</v>
      </c>
      <c r="M79" s="3" t="s">
        <v>176</v>
      </c>
      <c r="N79" s="3"/>
      <c r="O79" s="7">
        <f t="shared" si="1"/>
        <v>1.6653925474825351</v>
      </c>
    </row>
    <row r="80" spans="1:15" ht="43.5" x14ac:dyDescent="0.35">
      <c r="A80" s="4" t="s">
        <v>177</v>
      </c>
      <c r="B80" s="3" t="s">
        <v>9</v>
      </c>
      <c r="C80" s="3">
        <v>2.38781</v>
      </c>
      <c r="D80" s="3" t="s">
        <v>11</v>
      </c>
      <c r="E80" s="2" t="s">
        <v>11</v>
      </c>
      <c r="F80" s="3" t="s">
        <v>178</v>
      </c>
      <c r="H80" s="4" t="s">
        <v>177</v>
      </c>
      <c r="I80" s="3" t="s">
        <v>9</v>
      </c>
      <c r="J80" s="3">
        <v>2.0637799999999999</v>
      </c>
      <c r="K80" s="3" t="s">
        <v>11</v>
      </c>
      <c r="L80" s="2" t="s">
        <v>11</v>
      </c>
      <c r="M80" s="3" t="s">
        <v>178</v>
      </c>
      <c r="N80" s="3"/>
      <c r="O80" s="7">
        <f t="shared" si="1"/>
        <v>0.13570175181442412</v>
      </c>
    </row>
    <row r="81" spans="1:15" ht="43.5" x14ac:dyDescent="0.35">
      <c r="A81" s="4" t="s">
        <v>179</v>
      </c>
      <c r="B81" s="3" t="s">
        <v>180</v>
      </c>
      <c r="C81" s="3">
        <v>0.25842900000000002</v>
      </c>
      <c r="D81" s="3" t="s">
        <v>11</v>
      </c>
      <c r="E81" s="2" t="s">
        <v>11</v>
      </c>
      <c r="F81" s="3" t="s">
        <v>181</v>
      </c>
      <c r="H81" s="4" t="s">
        <v>179</v>
      </c>
      <c r="I81" s="3" t="s">
        <v>180</v>
      </c>
      <c r="J81" s="3">
        <v>0.221549</v>
      </c>
      <c r="K81" s="3" t="s">
        <v>11</v>
      </c>
      <c r="L81" s="2" t="s">
        <v>11</v>
      </c>
      <c r="M81" s="3" t="s">
        <v>181</v>
      </c>
      <c r="N81" s="3"/>
      <c r="O81" s="7">
        <f t="shared" si="1"/>
        <v>0.14270844216399869</v>
      </c>
    </row>
    <row r="82" spans="1:15" ht="87" x14ac:dyDescent="0.35">
      <c r="A82" s="4" t="s">
        <v>182</v>
      </c>
      <c r="B82" s="3" t="s">
        <v>180</v>
      </c>
      <c r="C82" s="3">
        <v>0</v>
      </c>
      <c r="D82" s="3" t="s">
        <v>11</v>
      </c>
      <c r="E82" s="2" t="s">
        <v>11</v>
      </c>
      <c r="F82" s="3" t="s">
        <v>183</v>
      </c>
      <c r="H82" s="4" t="s">
        <v>182</v>
      </c>
      <c r="I82" s="3" t="s">
        <v>180</v>
      </c>
      <c r="J82" s="3">
        <v>0</v>
      </c>
      <c r="K82" s="3" t="s">
        <v>11</v>
      </c>
      <c r="L82" s="2" t="s">
        <v>11</v>
      </c>
      <c r="M82" s="3" t="s">
        <v>183</v>
      </c>
      <c r="N82" s="3"/>
      <c r="O82" s="7" t="e">
        <f t="shared" si="1"/>
        <v>#DIV/0!</v>
      </c>
    </row>
    <row r="83" spans="1:15" ht="43.5" x14ac:dyDescent="0.35">
      <c r="A83" s="4" t="s">
        <v>184</v>
      </c>
      <c r="B83" s="3" t="s">
        <v>9</v>
      </c>
      <c r="C83" s="3">
        <v>0</v>
      </c>
      <c r="D83" s="3" t="s">
        <v>11</v>
      </c>
      <c r="E83" s="2" t="s">
        <v>11</v>
      </c>
      <c r="F83" s="3" t="s">
        <v>185</v>
      </c>
      <c r="H83" s="4" t="s">
        <v>184</v>
      </c>
      <c r="I83" s="3" t="s">
        <v>9</v>
      </c>
      <c r="J83" s="3">
        <v>0</v>
      </c>
      <c r="K83" s="3" t="s">
        <v>11</v>
      </c>
      <c r="L83" s="2" t="s">
        <v>11</v>
      </c>
      <c r="M83" s="3" t="s">
        <v>185</v>
      </c>
      <c r="N83" s="3"/>
      <c r="O83" s="7" t="e">
        <f t="shared" si="1"/>
        <v>#DIV/0!</v>
      </c>
    </row>
    <row r="84" spans="1:15" ht="145" x14ac:dyDescent="0.35">
      <c r="A84" s="4" t="s">
        <v>186</v>
      </c>
      <c r="B84" s="3" t="s">
        <v>9</v>
      </c>
      <c r="C84" s="3">
        <v>0.55567800000000001</v>
      </c>
      <c r="D84" s="3" t="s">
        <v>11</v>
      </c>
      <c r="E84" s="2" t="s">
        <v>11</v>
      </c>
      <c r="F84" s="3" t="s">
        <v>187</v>
      </c>
      <c r="H84" s="4" t="s">
        <v>186</v>
      </c>
      <c r="I84" s="3" t="s">
        <v>9</v>
      </c>
      <c r="J84" s="3">
        <v>1.4811000000000001</v>
      </c>
      <c r="K84" s="3" t="s">
        <v>11</v>
      </c>
      <c r="L84" s="2" t="s">
        <v>11</v>
      </c>
      <c r="M84" s="3" t="s">
        <v>187</v>
      </c>
      <c r="N84" s="3"/>
      <c r="O84" s="7">
        <f t="shared" si="1"/>
        <v>1.6653925474825351</v>
      </c>
    </row>
    <row r="85" spans="1:15" ht="87" x14ac:dyDescent="0.35">
      <c r="A85" s="4" t="s">
        <v>188</v>
      </c>
      <c r="B85" s="3" t="s">
        <v>189</v>
      </c>
      <c r="C85" s="5">
        <v>8.9989799999999997E-5</v>
      </c>
      <c r="D85" s="3">
        <v>20</v>
      </c>
      <c r="E85" s="2" t="s">
        <v>11</v>
      </c>
      <c r="F85" s="3" t="s">
        <v>190</v>
      </c>
      <c r="H85" s="4" t="s">
        <v>188</v>
      </c>
      <c r="I85" s="3" t="s">
        <v>189</v>
      </c>
      <c r="J85" s="3">
        <v>2.2918999999999999E-4</v>
      </c>
      <c r="K85" s="3">
        <v>20</v>
      </c>
      <c r="L85" s="2" t="s">
        <v>11</v>
      </c>
      <c r="M85" s="3" t="s">
        <v>190</v>
      </c>
      <c r="N85" s="3"/>
      <c r="O85" s="7">
        <f t="shared" si="1"/>
        <v>1.5468441978979839</v>
      </c>
    </row>
    <row r="86" spans="1:15" ht="43.5" x14ac:dyDescent="0.35">
      <c r="A86" s="4" t="s">
        <v>191</v>
      </c>
      <c r="B86" s="3" t="s">
        <v>165</v>
      </c>
      <c r="C86" s="3">
        <v>0.76363599999999998</v>
      </c>
      <c r="D86" s="3" t="s">
        <v>11</v>
      </c>
      <c r="E86" s="2" t="s">
        <v>11</v>
      </c>
      <c r="F86" s="3" t="s">
        <v>192</v>
      </c>
      <c r="H86" s="4" t="s">
        <v>191</v>
      </c>
      <c r="I86" s="3" t="s">
        <v>165</v>
      </c>
      <c r="J86" s="3">
        <v>0.76363599999999998</v>
      </c>
      <c r="K86" s="3" t="s">
        <v>11</v>
      </c>
      <c r="L86" s="2" t="s">
        <v>11</v>
      </c>
      <c r="M86" s="3" t="s">
        <v>192</v>
      </c>
      <c r="N86" s="3"/>
      <c r="O86" s="7">
        <f t="shared" si="1"/>
        <v>0</v>
      </c>
    </row>
    <row r="87" spans="1:15" ht="43.5" x14ac:dyDescent="0.35">
      <c r="A87" s="4" t="s">
        <v>193</v>
      </c>
      <c r="B87" s="3" t="s">
        <v>165</v>
      </c>
      <c r="C87" s="3">
        <v>1.30952</v>
      </c>
      <c r="D87" s="3" t="s">
        <v>11</v>
      </c>
      <c r="E87" s="2" t="s">
        <v>11</v>
      </c>
      <c r="F87" s="3" t="s">
        <v>194</v>
      </c>
      <c r="H87" s="4" t="s">
        <v>193</v>
      </c>
      <c r="I87" s="3" t="s">
        <v>165</v>
      </c>
      <c r="J87" s="3">
        <v>1.30952</v>
      </c>
      <c r="K87" s="3" t="s">
        <v>11</v>
      </c>
      <c r="L87" s="2" t="s">
        <v>11</v>
      </c>
      <c r="M87" s="3" t="s">
        <v>194</v>
      </c>
      <c r="N87" s="3"/>
      <c r="O87" s="7">
        <f t="shared" si="1"/>
        <v>0</v>
      </c>
    </row>
    <row r="88" spans="1:15" ht="58" x14ac:dyDescent="0.35">
      <c r="A88" s="4" t="s">
        <v>195</v>
      </c>
      <c r="B88" s="3" t="s">
        <v>38</v>
      </c>
      <c r="C88" s="3">
        <v>61.868000000000002</v>
      </c>
      <c r="D88" s="3">
        <v>20</v>
      </c>
      <c r="E88" s="2" t="s">
        <v>11</v>
      </c>
      <c r="F88" s="3" t="s">
        <v>196</v>
      </c>
      <c r="H88" s="4" t="s">
        <v>195</v>
      </c>
      <c r="I88" s="3" t="s">
        <v>38</v>
      </c>
      <c r="J88" s="3">
        <v>157.56800000000001</v>
      </c>
      <c r="K88" s="3">
        <v>20</v>
      </c>
      <c r="L88" s="2" t="s">
        <v>11</v>
      </c>
      <c r="M88" s="3" t="s">
        <v>196</v>
      </c>
      <c r="N88" s="3"/>
      <c r="O88" s="7">
        <f t="shared" si="1"/>
        <v>1.5468416628951964</v>
      </c>
    </row>
    <row r="89" spans="1:15" ht="87" x14ac:dyDescent="0.35">
      <c r="A89" s="4" t="s">
        <v>197</v>
      </c>
      <c r="B89" s="3" t="s">
        <v>189</v>
      </c>
      <c r="C89" s="3">
        <v>1.1784400000000001E-4</v>
      </c>
      <c r="D89" s="3">
        <v>20</v>
      </c>
      <c r="E89" s="2" t="s">
        <v>11</v>
      </c>
      <c r="F89" s="3" t="s">
        <v>198</v>
      </c>
      <c r="H89" s="4" t="s">
        <v>197</v>
      </c>
      <c r="I89" s="3" t="s">
        <v>189</v>
      </c>
      <c r="J89" s="3">
        <v>3.00129E-4</v>
      </c>
      <c r="K89" s="3">
        <v>20</v>
      </c>
      <c r="L89" s="2" t="s">
        <v>11</v>
      </c>
      <c r="M89" s="3" t="s">
        <v>198</v>
      </c>
      <c r="N89" s="3"/>
      <c r="O89" s="7">
        <f t="shared" si="1"/>
        <v>1.5468331013882759</v>
      </c>
    </row>
    <row r="90" spans="1:15" ht="43.5" x14ac:dyDescent="0.35">
      <c r="A90" s="4" t="s">
        <v>199</v>
      </c>
      <c r="B90" s="3" t="s">
        <v>165</v>
      </c>
      <c r="C90" s="3">
        <v>0.109375</v>
      </c>
      <c r="D90" s="3" t="s">
        <v>11</v>
      </c>
      <c r="E90" s="2" t="s">
        <v>11</v>
      </c>
      <c r="F90" s="3" t="s">
        <v>200</v>
      </c>
      <c r="H90" s="4" t="s">
        <v>199</v>
      </c>
      <c r="I90" s="3" t="s">
        <v>165</v>
      </c>
      <c r="J90" s="3">
        <v>0.109375</v>
      </c>
      <c r="K90" s="3" t="s">
        <v>11</v>
      </c>
      <c r="L90" s="2" t="s">
        <v>11</v>
      </c>
      <c r="M90" s="3" t="s">
        <v>200</v>
      </c>
      <c r="N90" s="3"/>
      <c r="O90" s="7">
        <f t="shared" si="1"/>
        <v>0</v>
      </c>
    </row>
    <row r="91" spans="1:15" ht="43.5" x14ac:dyDescent="0.35">
      <c r="A91" s="4" t="s">
        <v>201</v>
      </c>
      <c r="B91" s="3" t="s">
        <v>165</v>
      </c>
      <c r="C91" s="3">
        <v>9.1428600000000007</v>
      </c>
      <c r="D91" s="3" t="s">
        <v>11</v>
      </c>
      <c r="E91" s="2" t="s">
        <v>11</v>
      </c>
      <c r="F91" s="3" t="s">
        <v>202</v>
      </c>
      <c r="H91" s="4" t="s">
        <v>201</v>
      </c>
      <c r="I91" s="3" t="s">
        <v>165</v>
      </c>
      <c r="J91" s="3">
        <v>9.1428600000000007</v>
      </c>
      <c r="K91" s="3" t="s">
        <v>11</v>
      </c>
      <c r="L91" s="2" t="s">
        <v>11</v>
      </c>
      <c r="M91" s="3" t="s">
        <v>202</v>
      </c>
      <c r="N91" s="3"/>
      <c r="O91" s="7">
        <f t="shared" si="1"/>
        <v>0</v>
      </c>
    </row>
    <row r="92" spans="1:15" ht="43.5" x14ac:dyDescent="0.35">
      <c r="A92" s="4" t="s">
        <v>203</v>
      </c>
      <c r="B92" s="3" t="s">
        <v>165</v>
      </c>
      <c r="C92" s="3">
        <v>0.143229</v>
      </c>
      <c r="D92" s="3" t="s">
        <v>11</v>
      </c>
      <c r="E92" s="2" t="s">
        <v>11</v>
      </c>
      <c r="F92" s="3" t="s">
        <v>204</v>
      </c>
      <c r="H92" s="4" t="s">
        <v>203</v>
      </c>
      <c r="I92" s="3" t="s">
        <v>165</v>
      </c>
      <c r="J92" s="3">
        <v>0.143229</v>
      </c>
      <c r="K92" s="3" t="s">
        <v>11</v>
      </c>
      <c r="L92" s="2" t="s">
        <v>11</v>
      </c>
      <c r="M92" s="3" t="s">
        <v>204</v>
      </c>
      <c r="N92" s="3"/>
      <c r="O92" s="7">
        <f t="shared" si="1"/>
        <v>0</v>
      </c>
    </row>
    <row r="93" spans="1:15" ht="101.5" x14ac:dyDescent="0.35">
      <c r="A93" s="4" t="s">
        <v>205</v>
      </c>
      <c r="B93" s="3" t="s">
        <v>206</v>
      </c>
      <c r="C93" s="5">
        <v>2.38095E-6</v>
      </c>
      <c r="D93" s="3" t="s">
        <v>11</v>
      </c>
      <c r="E93" s="2" t="s">
        <v>11</v>
      </c>
      <c r="F93" s="3" t="s">
        <v>207</v>
      </c>
      <c r="H93" s="4" t="s">
        <v>205</v>
      </c>
      <c r="I93" s="3" t="s">
        <v>206</v>
      </c>
      <c r="J93" s="5">
        <v>2.38095E-6</v>
      </c>
      <c r="K93" s="3" t="s">
        <v>11</v>
      </c>
      <c r="L93" s="2" t="s">
        <v>11</v>
      </c>
      <c r="M93" s="3" t="s">
        <v>207</v>
      </c>
      <c r="N93" s="3"/>
      <c r="O93" s="7">
        <f t="shared" si="1"/>
        <v>0</v>
      </c>
    </row>
    <row r="94" spans="1:15" ht="116" x14ac:dyDescent="0.35">
      <c r="A94" s="4" t="s">
        <v>208</v>
      </c>
      <c r="B94" s="3" t="s">
        <v>206</v>
      </c>
      <c r="C94" s="5">
        <v>2.6041700000000002E-7</v>
      </c>
      <c r="D94" s="3" t="s">
        <v>11</v>
      </c>
      <c r="E94" s="2" t="s">
        <v>11</v>
      </c>
      <c r="F94" s="3" t="s">
        <v>209</v>
      </c>
      <c r="H94" s="4" t="s">
        <v>208</v>
      </c>
      <c r="I94" s="3" t="s">
        <v>206</v>
      </c>
      <c r="J94" s="5">
        <v>2.6041700000000002E-7</v>
      </c>
      <c r="K94" s="3" t="s">
        <v>11</v>
      </c>
      <c r="L94" s="2" t="s">
        <v>11</v>
      </c>
      <c r="M94" s="3" t="s">
        <v>209</v>
      </c>
      <c r="N94" s="3"/>
      <c r="O94" s="7">
        <f t="shared" si="1"/>
        <v>0</v>
      </c>
    </row>
    <row r="95" spans="1:15" ht="87" x14ac:dyDescent="0.35">
      <c r="A95" s="4" t="s">
        <v>210</v>
      </c>
      <c r="B95" s="3" t="s">
        <v>206</v>
      </c>
      <c r="C95" s="5">
        <v>1.60129E-6</v>
      </c>
      <c r="D95" s="3" t="s">
        <v>11</v>
      </c>
      <c r="E95" s="2" t="s">
        <v>11</v>
      </c>
      <c r="F95" s="3" t="s">
        <v>211</v>
      </c>
      <c r="H95" s="4" t="s">
        <v>210</v>
      </c>
      <c r="I95" s="3" t="s">
        <v>206</v>
      </c>
      <c r="J95" s="5">
        <v>1.6025999999999999E-6</v>
      </c>
      <c r="K95" s="3" t="s">
        <v>11</v>
      </c>
      <c r="L95" s="2" t="s">
        <v>11</v>
      </c>
      <c r="M95" s="3" t="s">
        <v>211</v>
      </c>
      <c r="N95" s="3"/>
      <c r="O95" s="7">
        <f t="shared" si="1"/>
        <v>8.1809041460319503E-4</v>
      </c>
    </row>
    <row r="96" spans="1:15" ht="72.5" x14ac:dyDescent="0.35">
      <c r="A96" s="4" t="s">
        <v>212</v>
      </c>
      <c r="B96" s="3" t="s">
        <v>213</v>
      </c>
      <c r="C96" s="3">
        <v>2.9798699999999999E-4</v>
      </c>
      <c r="D96" s="3">
        <v>20</v>
      </c>
      <c r="E96" s="2" t="s">
        <v>11</v>
      </c>
      <c r="F96" s="3" t="s">
        <v>214</v>
      </c>
      <c r="H96" s="4" t="s">
        <v>212</v>
      </c>
      <c r="I96" s="3" t="s">
        <v>213</v>
      </c>
      <c r="J96" s="3">
        <v>3.8396200000000001E-4</v>
      </c>
      <c r="K96" s="3">
        <v>20</v>
      </c>
      <c r="L96" s="2" t="s">
        <v>11</v>
      </c>
      <c r="M96" s="3" t="s">
        <v>214</v>
      </c>
      <c r="N96" s="3"/>
      <c r="O96" s="7">
        <f t="shared" si="1"/>
        <v>0.28851929782171709</v>
      </c>
    </row>
    <row r="97" spans="1:15" ht="87" x14ac:dyDescent="0.35">
      <c r="A97" s="4" t="s">
        <v>215</v>
      </c>
      <c r="B97" s="3" t="s">
        <v>189</v>
      </c>
      <c r="C97" s="3">
        <v>0</v>
      </c>
      <c r="D97" s="3">
        <v>20</v>
      </c>
      <c r="E97" s="2" t="s">
        <v>11</v>
      </c>
      <c r="F97" s="3" t="s">
        <v>216</v>
      </c>
      <c r="H97" s="4" t="s">
        <v>215</v>
      </c>
      <c r="I97" s="3" t="s">
        <v>189</v>
      </c>
      <c r="J97" s="3">
        <v>0</v>
      </c>
      <c r="K97" s="3">
        <v>20</v>
      </c>
      <c r="L97" s="2" t="s">
        <v>11</v>
      </c>
      <c r="M97" s="3" t="s">
        <v>216</v>
      </c>
      <c r="N97" s="3"/>
      <c r="O97" s="7" t="e">
        <f t="shared" si="1"/>
        <v>#DIV/0!</v>
      </c>
    </row>
    <row r="98" spans="1:15" ht="72.5" x14ac:dyDescent="0.35">
      <c r="A98" s="4" t="s">
        <v>217</v>
      </c>
      <c r="B98" s="3" t="s">
        <v>218</v>
      </c>
      <c r="C98" s="3">
        <v>3.5609399999999999E-2</v>
      </c>
      <c r="D98" s="3">
        <v>20</v>
      </c>
      <c r="E98" s="2" t="s">
        <v>11</v>
      </c>
      <c r="F98" s="3" t="s">
        <v>219</v>
      </c>
      <c r="H98" s="4" t="s">
        <v>217</v>
      </c>
      <c r="I98" s="3" t="s">
        <v>218</v>
      </c>
      <c r="J98" s="3">
        <v>4.5883500000000001E-2</v>
      </c>
      <c r="K98" s="3">
        <v>20</v>
      </c>
      <c r="L98" s="2" t="s">
        <v>11</v>
      </c>
      <c r="M98" s="3" t="s">
        <v>219</v>
      </c>
      <c r="N98" s="3"/>
      <c r="O98" s="7">
        <f t="shared" si="1"/>
        <v>0.28852213179666047</v>
      </c>
    </row>
    <row r="99" spans="1:15" ht="72.5" x14ac:dyDescent="0.35">
      <c r="A99" s="4" t="s">
        <v>220</v>
      </c>
      <c r="B99" s="3" t="s">
        <v>218</v>
      </c>
      <c r="C99" s="3">
        <v>2.2709000000000002E-3</v>
      </c>
      <c r="D99" s="3">
        <v>20</v>
      </c>
      <c r="E99" s="2" t="s">
        <v>11</v>
      </c>
      <c r="F99" s="3" t="s">
        <v>221</v>
      </c>
      <c r="H99" s="4" t="s">
        <v>220</v>
      </c>
      <c r="I99" s="3" t="s">
        <v>218</v>
      </c>
      <c r="J99" s="3">
        <v>2.2690399999999999E-3</v>
      </c>
      <c r="K99" s="3">
        <v>20</v>
      </c>
      <c r="L99" s="2" t="s">
        <v>11</v>
      </c>
      <c r="M99" s="3" t="s">
        <v>221</v>
      </c>
      <c r="N99" s="3"/>
      <c r="O99" s="7">
        <f t="shared" si="1"/>
        <v>8.1905852305263528E-4</v>
      </c>
    </row>
    <row r="100" spans="1:15" ht="43.5" x14ac:dyDescent="0.35">
      <c r="A100" s="4" t="s">
        <v>222</v>
      </c>
      <c r="B100" s="3" t="s">
        <v>9</v>
      </c>
      <c r="C100" s="3">
        <v>0.80064400000000002</v>
      </c>
      <c r="D100" s="3" t="s">
        <v>11</v>
      </c>
      <c r="E100" s="2" t="s">
        <v>11</v>
      </c>
      <c r="F100" s="3" t="s">
        <v>223</v>
      </c>
      <c r="H100" s="4" t="s">
        <v>222</v>
      </c>
      <c r="I100" s="3" t="s">
        <v>9</v>
      </c>
      <c r="J100" s="3">
        <v>0.80130100000000004</v>
      </c>
      <c r="K100" s="3" t="s">
        <v>11</v>
      </c>
      <c r="L100" s="2" t="s">
        <v>11</v>
      </c>
      <c r="M100" s="3" t="s">
        <v>223</v>
      </c>
      <c r="N100" s="3"/>
      <c r="O100" s="7">
        <f t="shared" si="1"/>
        <v>8.2058942551248575E-4</v>
      </c>
    </row>
    <row r="101" spans="1:15" ht="72.5" x14ac:dyDescent="0.35">
      <c r="A101" s="4" t="s">
        <v>224</v>
      </c>
      <c r="B101" s="3" t="s">
        <v>44</v>
      </c>
      <c r="C101" s="3">
        <v>4184.1000000000004</v>
      </c>
      <c r="D101" s="3" t="s">
        <v>11</v>
      </c>
      <c r="E101" s="2" t="s">
        <v>11</v>
      </c>
      <c r="F101" s="3" t="s">
        <v>225</v>
      </c>
      <c r="H101" s="4" t="s">
        <v>224</v>
      </c>
      <c r="I101" s="3" t="s">
        <v>44</v>
      </c>
      <c r="J101" s="3">
        <v>4184.1000000000004</v>
      </c>
      <c r="K101" s="3" t="s">
        <v>11</v>
      </c>
      <c r="L101" s="2" t="s">
        <v>11</v>
      </c>
      <c r="M101" s="3" t="s">
        <v>225</v>
      </c>
      <c r="N101" s="3"/>
      <c r="O101" s="7">
        <f t="shared" si="1"/>
        <v>0</v>
      </c>
    </row>
    <row r="102" spans="1:15" ht="72.5" x14ac:dyDescent="0.35">
      <c r="A102" s="4" t="s">
        <v>16</v>
      </c>
      <c r="B102" s="3" t="s">
        <v>226</v>
      </c>
      <c r="C102" s="5">
        <v>1.81298E-5</v>
      </c>
      <c r="D102" s="3" t="s">
        <v>11</v>
      </c>
      <c r="E102" s="2" t="s">
        <v>11</v>
      </c>
      <c r="F102" s="3" t="s">
        <v>227</v>
      </c>
      <c r="H102" s="4" t="s">
        <v>16</v>
      </c>
      <c r="I102" s="3" t="s">
        <v>226</v>
      </c>
      <c r="J102" s="5">
        <v>4.6173800000000002E-5</v>
      </c>
      <c r="K102" s="3" t="s">
        <v>11</v>
      </c>
      <c r="L102" s="2" t="s">
        <v>11</v>
      </c>
      <c r="M102" s="3" t="s">
        <v>227</v>
      </c>
      <c r="N102" s="3"/>
      <c r="O102" s="7">
        <f t="shared" si="1"/>
        <v>1.54684552504716</v>
      </c>
    </row>
    <row r="103" spans="1:15" ht="43.5" x14ac:dyDescent="0.35">
      <c r="A103" s="4" t="s">
        <v>46</v>
      </c>
      <c r="B103" s="3" t="s">
        <v>47</v>
      </c>
      <c r="C103" s="3">
        <v>4.9272499999999997E-2</v>
      </c>
      <c r="D103" s="3" t="s">
        <v>11</v>
      </c>
      <c r="E103" s="2" t="s">
        <v>11</v>
      </c>
      <c r="F103" s="3" t="s">
        <v>228</v>
      </c>
      <c r="H103" s="4" t="s">
        <v>46</v>
      </c>
      <c r="I103" s="3" t="s">
        <v>47</v>
      </c>
      <c r="J103" s="3">
        <v>0.48092400000000002</v>
      </c>
      <c r="K103" s="3" t="s">
        <v>11</v>
      </c>
      <c r="L103" s="2" t="s">
        <v>11</v>
      </c>
      <c r="M103" s="3" t="s">
        <v>228</v>
      </c>
      <c r="N103" s="3"/>
      <c r="O103" s="7">
        <f t="shared" si="1"/>
        <v>8.7604952052361877</v>
      </c>
    </row>
    <row r="104" spans="1:15" ht="43.5" x14ac:dyDescent="0.35">
      <c r="A104" s="4" t="s">
        <v>229</v>
      </c>
      <c r="B104" s="3" t="s">
        <v>230</v>
      </c>
      <c r="C104" s="5">
        <v>8.9586299999999995E-8</v>
      </c>
      <c r="D104" s="3" t="s">
        <v>11</v>
      </c>
      <c r="E104" s="2" t="s">
        <v>11</v>
      </c>
      <c r="F104" s="3" t="s">
        <v>228</v>
      </c>
      <c r="H104" s="4" t="s">
        <v>229</v>
      </c>
      <c r="I104" s="3" t="s">
        <v>230</v>
      </c>
      <c r="J104" s="5">
        <v>8.7440700000000003E-7</v>
      </c>
      <c r="K104" s="3" t="s">
        <v>11</v>
      </c>
      <c r="L104" s="2" t="s">
        <v>11</v>
      </c>
      <c r="M104" s="3" t="s">
        <v>228</v>
      </c>
      <c r="N104" s="3"/>
      <c r="O104" s="7">
        <f t="shared" si="1"/>
        <v>8.7604990941695338</v>
      </c>
    </row>
    <row r="105" spans="1:15" ht="58" x14ac:dyDescent="0.35">
      <c r="A105" s="4" t="s">
        <v>231</v>
      </c>
      <c r="B105" s="3" t="s">
        <v>232</v>
      </c>
      <c r="C105" s="3">
        <v>9.9551599999999989E-4</v>
      </c>
      <c r="D105" s="3">
        <v>20</v>
      </c>
      <c r="E105" s="2" t="s">
        <v>11</v>
      </c>
      <c r="F105" s="3" t="s">
        <v>233</v>
      </c>
      <c r="H105" s="4" t="s">
        <v>231</v>
      </c>
      <c r="I105" s="3" t="s">
        <v>232</v>
      </c>
      <c r="J105" s="3">
        <v>3.8152099999999999E-3</v>
      </c>
      <c r="K105" s="3">
        <v>20</v>
      </c>
      <c r="L105" s="2" t="s">
        <v>11</v>
      </c>
      <c r="M105" s="3" t="s">
        <v>233</v>
      </c>
      <c r="N105" s="3"/>
      <c r="O105" s="7">
        <f t="shared" si="1"/>
        <v>2.8323944567440407</v>
      </c>
    </row>
    <row r="106" spans="1:15" ht="58" x14ac:dyDescent="0.35">
      <c r="A106" s="4" t="s">
        <v>234</v>
      </c>
      <c r="B106" s="3" t="s">
        <v>232</v>
      </c>
      <c r="C106" s="3">
        <v>6.9011400000000001E-3</v>
      </c>
      <c r="D106" s="3">
        <v>20</v>
      </c>
      <c r="E106" s="2" t="s">
        <v>11</v>
      </c>
      <c r="F106" s="3" t="s">
        <v>233</v>
      </c>
      <c r="H106" s="4" t="s">
        <v>234</v>
      </c>
      <c r="I106" s="3" t="s">
        <v>232</v>
      </c>
      <c r="J106" s="3">
        <v>6.0670699999999999E-3</v>
      </c>
      <c r="K106" s="3">
        <v>20</v>
      </c>
      <c r="L106" s="2" t="s">
        <v>11</v>
      </c>
      <c r="M106" s="3" t="s">
        <v>233</v>
      </c>
      <c r="N106" s="3"/>
      <c r="O106" s="7">
        <f t="shared" si="1"/>
        <v>0.12085974201363835</v>
      </c>
    </row>
    <row r="107" spans="1:15" ht="58" x14ac:dyDescent="0.35">
      <c r="A107" s="4" t="s">
        <v>235</v>
      </c>
      <c r="B107" s="3" t="s">
        <v>9</v>
      </c>
      <c r="C107" s="3">
        <v>4.6747899999999997E-4</v>
      </c>
      <c r="D107" s="3" t="s">
        <v>11</v>
      </c>
      <c r="E107" s="2" t="s">
        <v>11</v>
      </c>
      <c r="F107" s="3" t="s">
        <v>233</v>
      </c>
      <c r="H107" s="4" t="s">
        <v>235</v>
      </c>
      <c r="I107" s="3" t="s">
        <v>9</v>
      </c>
      <c r="J107" s="3">
        <v>3.14358E-3</v>
      </c>
      <c r="K107" s="3" t="s">
        <v>11</v>
      </c>
      <c r="L107" s="2" t="s">
        <v>11</v>
      </c>
      <c r="M107" s="3" t="s">
        <v>233</v>
      </c>
      <c r="N107" s="3"/>
      <c r="O107" s="7">
        <f t="shared" si="1"/>
        <v>5.7245373588974058</v>
      </c>
    </row>
    <row r="108" spans="1:15" ht="58" x14ac:dyDescent="0.35">
      <c r="A108" s="4" t="s">
        <v>236</v>
      </c>
      <c r="B108" s="3" t="s">
        <v>9</v>
      </c>
      <c r="C108" s="3">
        <v>3.2406700000000002E-3</v>
      </c>
      <c r="D108" s="3" t="s">
        <v>11</v>
      </c>
      <c r="E108" s="2" t="s">
        <v>11</v>
      </c>
      <c r="F108" s="3" t="s">
        <v>233</v>
      </c>
      <c r="H108" s="4" t="s">
        <v>236</v>
      </c>
      <c r="I108" s="3" t="s">
        <v>9</v>
      </c>
      <c r="J108" s="3">
        <v>4.9990199999999999E-3</v>
      </c>
      <c r="K108" s="3" t="s">
        <v>11</v>
      </c>
      <c r="L108" s="2" t="s">
        <v>11</v>
      </c>
      <c r="M108" s="3" t="s">
        <v>233</v>
      </c>
      <c r="N108" s="3"/>
      <c r="O108" s="7">
        <f t="shared" si="1"/>
        <v>0.54258841535855229</v>
      </c>
    </row>
    <row r="109" spans="1:15" ht="58" x14ac:dyDescent="0.35">
      <c r="A109" s="4" t="s">
        <v>49</v>
      </c>
      <c r="B109" s="3" t="s">
        <v>47</v>
      </c>
      <c r="C109" s="3">
        <v>0.34170899999999998</v>
      </c>
      <c r="D109" s="3" t="s">
        <v>11</v>
      </c>
      <c r="E109" s="2" t="s">
        <v>11</v>
      </c>
      <c r="F109" s="3" t="s">
        <v>237</v>
      </c>
      <c r="H109" s="4" t="s">
        <v>49</v>
      </c>
      <c r="I109" s="3" t="s">
        <v>47</v>
      </c>
      <c r="J109" s="3">
        <v>20.933599999999998</v>
      </c>
      <c r="K109" s="3" t="s">
        <v>11</v>
      </c>
      <c r="L109" s="2" t="s">
        <v>11</v>
      </c>
      <c r="M109" s="3" t="s">
        <v>237</v>
      </c>
      <c r="N109" s="3"/>
      <c r="O109" s="7">
        <f t="shared" si="1"/>
        <v>60.261482723603997</v>
      </c>
    </row>
    <row r="110" spans="1:15" ht="58" x14ac:dyDescent="0.35">
      <c r="A110" s="4" t="s">
        <v>238</v>
      </c>
      <c r="B110" s="3" t="s">
        <v>230</v>
      </c>
      <c r="C110" s="5">
        <v>6.21289E-7</v>
      </c>
      <c r="D110" s="3" t="s">
        <v>11</v>
      </c>
      <c r="E110" s="2" t="s">
        <v>11</v>
      </c>
      <c r="F110" s="3" t="s">
        <v>237</v>
      </c>
      <c r="H110" s="4" t="s">
        <v>238</v>
      </c>
      <c r="I110" s="3" t="s">
        <v>230</v>
      </c>
      <c r="J110" s="5">
        <v>3.8061100000000001E-5</v>
      </c>
      <c r="K110" s="3" t="s">
        <v>11</v>
      </c>
      <c r="L110" s="2" t="s">
        <v>11</v>
      </c>
      <c r="M110" s="3" t="s">
        <v>237</v>
      </c>
      <c r="N110" s="3"/>
      <c r="O110" s="7">
        <f t="shared" si="1"/>
        <v>60.261506319925196</v>
      </c>
    </row>
    <row r="111" spans="1:15" ht="72.5" x14ac:dyDescent="0.35">
      <c r="A111" s="4" t="s">
        <v>239</v>
      </c>
      <c r="B111" s="3" t="s">
        <v>232</v>
      </c>
      <c r="C111" s="3">
        <v>6.9040000000000004E-3</v>
      </c>
      <c r="D111" s="3">
        <v>20</v>
      </c>
      <c r="E111" s="2" t="s">
        <v>11</v>
      </c>
      <c r="F111" s="3" t="s">
        <v>240</v>
      </c>
      <c r="H111" s="4" t="s">
        <v>239</v>
      </c>
      <c r="I111" s="3" t="s">
        <v>232</v>
      </c>
      <c r="J111" s="3">
        <v>0.16606799999999999</v>
      </c>
      <c r="K111" s="3">
        <v>20</v>
      </c>
      <c r="L111" s="2" t="s">
        <v>11</v>
      </c>
      <c r="M111" s="3" t="s">
        <v>240</v>
      </c>
      <c r="N111" s="3"/>
      <c r="O111" s="7">
        <f t="shared" si="1"/>
        <v>23.053881807647738</v>
      </c>
    </row>
    <row r="112" spans="1:15" ht="72.5" x14ac:dyDescent="0.35">
      <c r="A112" s="4" t="s">
        <v>241</v>
      </c>
      <c r="B112" s="3" t="s">
        <v>232</v>
      </c>
      <c r="C112" s="3">
        <v>4.786E-2</v>
      </c>
      <c r="D112" s="3">
        <v>20</v>
      </c>
      <c r="E112" s="2" t="s">
        <v>11</v>
      </c>
      <c r="F112" s="3" t="s">
        <v>240</v>
      </c>
      <c r="H112" s="4" t="s">
        <v>241</v>
      </c>
      <c r="I112" s="3" t="s">
        <v>232</v>
      </c>
      <c r="J112" s="3">
        <v>0.26408700000000002</v>
      </c>
      <c r="K112" s="3">
        <v>20</v>
      </c>
      <c r="L112" s="2" t="s">
        <v>11</v>
      </c>
      <c r="M112" s="3" t="s">
        <v>240</v>
      </c>
      <c r="N112" s="3"/>
      <c r="O112" s="7">
        <f t="shared" si="1"/>
        <v>4.5179063936481407</v>
      </c>
    </row>
    <row r="113" spans="1:15" ht="72.5" x14ac:dyDescent="0.35">
      <c r="A113" s="4" t="s">
        <v>242</v>
      </c>
      <c r="B113" s="3" t="s">
        <v>9</v>
      </c>
      <c r="C113" s="3">
        <v>3.24201E-3</v>
      </c>
      <c r="D113" s="3" t="s">
        <v>11</v>
      </c>
      <c r="E113" s="2" t="s">
        <v>11</v>
      </c>
      <c r="F113" s="3" t="s">
        <v>240</v>
      </c>
      <c r="H113" s="4" t="s">
        <v>242</v>
      </c>
      <c r="I113" s="3" t="s">
        <v>9</v>
      </c>
      <c r="J113" s="3">
        <v>0.13683300000000001</v>
      </c>
      <c r="K113" s="3" t="s">
        <v>11</v>
      </c>
      <c r="L113" s="2" t="s">
        <v>11</v>
      </c>
      <c r="M113" s="3" t="s">
        <v>240</v>
      </c>
      <c r="N113" s="3"/>
      <c r="O113" s="7">
        <f t="shared" si="1"/>
        <v>41.206223916644312</v>
      </c>
    </row>
    <row r="114" spans="1:15" ht="72.5" x14ac:dyDescent="0.35">
      <c r="A114" s="4" t="s">
        <v>243</v>
      </c>
      <c r="B114" s="3" t="s">
        <v>9</v>
      </c>
      <c r="C114" s="3">
        <v>2.2474299999999999E-2</v>
      </c>
      <c r="D114" s="3" t="s">
        <v>11</v>
      </c>
      <c r="E114" s="2" t="s">
        <v>11</v>
      </c>
      <c r="F114" s="3" t="s">
        <v>240</v>
      </c>
      <c r="H114" s="4" t="s">
        <v>243</v>
      </c>
      <c r="I114" s="3" t="s">
        <v>9</v>
      </c>
      <c r="J114" s="3">
        <v>0.21759700000000001</v>
      </c>
      <c r="K114" s="3" t="s">
        <v>11</v>
      </c>
      <c r="L114" s="2" t="s">
        <v>11</v>
      </c>
      <c r="M114" s="3" t="s">
        <v>240</v>
      </c>
      <c r="N114" s="3"/>
      <c r="O114" s="7">
        <f t="shared" si="1"/>
        <v>8.6820368153846843</v>
      </c>
    </row>
    <row r="115" spans="1:15" ht="43.5" x14ac:dyDescent="0.35">
      <c r="A115" s="4" t="s">
        <v>51</v>
      </c>
      <c r="B115" s="3" t="s">
        <v>47</v>
      </c>
      <c r="C115" s="3">
        <v>66.343100000000007</v>
      </c>
      <c r="D115" s="3" t="s">
        <v>11</v>
      </c>
      <c r="E115" s="2" t="s">
        <v>11</v>
      </c>
      <c r="F115" s="3" t="s">
        <v>244</v>
      </c>
      <c r="H115" s="4" t="s">
        <v>51</v>
      </c>
      <c r="I115" s="3" t="s">
        <v>47</v>
      </c>
      <c r="J115" s="3">
        <v>3628.45</v>
      </c>
      <c r="K115" s="3" t="s">
        <v>11</v>
      </c>
      <c r="L115" s="2" t="s">
        <v>11</v>
      </c>
      <c r="M115" s="3" t="s">
        <v>244</v>
      </c>
      <c r="N115" s="3"/>
      <c r="O115" s="7">
        <f t="shared" si="1"/>
        <v>53.692198585836344</v>
      </c>
    </row>
    <row r="116" spans="1:15" ht="43.5" x14ac:dyDescent="0.35">
      <c r="A116" s="4" t="s">
        <v>245</v>
      </c>
      <c r="B116" s="3" t="s">
        <v>230</v>
      </c>
      <c r="C116" s="3">
        <v>1.20624E-4</v>
      </c>
      <c r="D116" s="3" t="s">
        <v>11</v>
      </c>
      <c r="E116" s="2" t="s">
        <v>11</v>
      </c>
      <c r="F116" s="3" t="s">
        <v>244</v>
      </c>
      <c r="H116" s="4" t="s">
        <v>245</v>
      </c>
      <c r="I116" s="3" t="s">
        <v>230</v>
      </c>
      <c r="J116" s="3">
        <v>6.5971900000000002E-3</v>
      </c>
      <c r="K116" s="3" t="s">
        <v>11</v>
      </c>
      <c r="L116" s="2" t="s">
        <v>11</v>
      </c>
      <c r="M116" s="3" t="s">
        <v>244</v>
      </c>
      <c r="N116" s="3"/>
      <c r="O116" s="7">
        <f t="shared" si="1"/>
        <v>53.692183976654732</v>
      </c>
    </row>
    <row r="117" spans="1:15" ht="58" x14ac:dyDescent="0.35">
      <c r="A117" s="4" t="s">
        <v>246</v>
      </c>
      <c r="B117" s="3" t="s">
        <v>232</v>
      </c>
      <c r="C117" s="3">
        <v>1.3404199999999999</v>
      </c>
      <c r="D117" s="3">
        <v>20</v>
      </c>
      <c r="E117" s="2" t="s">
        <v>11</v>
      </c>
      <c r="F117" s="3" t="s">
        <v>247</v>
      </c>
      <c r="H117" s="4" t="s">
        <v>246</v>
      </c>
      <c r="I117" s="3" t="s">
        <v>232</v>
      </c>
      <c r="J117" s="3">
        <v>28.784800000000001</v>
      </c>
      <c r="K117" s="3">
        <v>20</v>
      </c>
      <c r="L117" s="2" t="s">
        <v>11</v>
      </c>
      <c r="M117" s="3" t="s">
        <v>247</v>
      </c>
      <c r="N117" s="3"/>
      <c r="O117" s="7">
        <f t="shared" si="1"/>
        <v>20.474463227943485</v>
      </c>
    </row>
    <row r="118" spans="1:15" ht="58" x14ac:dyDescent="0.35">
      <c r="A118" s="4" t="s">
        <v>248</v>
      </c>
      <c r="B118" s="3" t="s">
        <v>232</v>
      </c>
      <c r="C118" s="3">
        <v>9.2920599999999993</v>
      </c>
      <c r="D118" s="3">
        <v>20</v>
      </c>
      <c r="E118" s="2" t="s">
        <v>11</v>
      </c>
      <c r="F118" s="3" t="s">
        <v>247</v>
      </c>
      <c r="H118" s="4" t="s">
        <v>248</v>
      </c>
      <c r="I118" s="3" t="s">
        <v>232</v>
      </c>
      <c r="J118" s="3">
        <v>45.7746</v>
      </c>
      <c r="K118" s="3">
        <v>20</v>
      </c>
      <c r="L118" s="2" t="s">
        <v>11</v>
      </c>
      <c r="M118" s="3" t="s">
        <v>247</v>
      </c>
      <c r="N118" s="3"/>
      <c r="O118" s="7">
        <f t="shared" si="1"/>
        <v>3.9262058144265106</v>
      </c>
    </row>
    <row r="119" spans="1:15" ht="58" x14ac:dyDescent="0.35">
      <c r="A119" s="4" t="s">
        <v>249</v>
      </c>
      <c r="B119" s="3" t="s">
        <v>9</v>
      </c>
      <c r="C119" s="3">
        <v>0.62943899999999997</v>
      </c>
      <c r="D119" s="3" t="s">
        <v>11</v>
      </c>
      <c r="E119" s="2" t="s">
        <v>11</v>
      </c>
      <c r="F119" s="3" t="s">
        <v>247</v>
      </c>
      <c r="H119" s="4" t="s">
        <v>249</v>
      </c>
      <c r="I119" s="3" t="s">
        <v>9</v>
      </c>
      <c r="J119" s="3">
        <v>23.717500000000001</v>
      </c>
      <c r="K119" s="3" t="s">
        <v>11</v>
      </c>
      <c r="L119" s="2" t="s">
        <v>11</v>
      </c>
      <c r="M119" s="3" t="s">
        <v>247</v>
      </c>
      <c r="N119" s="3"/>
      <c r="O119" s="7">
        <f t="shared" si="1"/>
        <v>36.680378877063546</v>
      </c>
    </row>
    <row r="120" spans="1:15" ht="58" x14ac:dyDescent="0.35">
      <c r="A120" s="4" t="s">
        <v>250</v>
      </c>
      <c r="B120" s="3" t="s">
        <v>9</v>
      </c>
      <c r="C120" s="3">
        <v>4.36341</v>
      </c>
      <c r="D120" s="3" t="s">
        <v>11</v>
      </c>
      <c r="E120" s="2" t="s">
        <v>11</v>
      </c>
      <c r="F120" s="3" t="s">
        <v>247</v>
      </c>
      <c r="H120" s="4" t="s">
        <v>250</v>
      </c>
      <c r="I120" s="3" t="s">
        <v>9</v>
      </c>
      <c r="J120" s="3">
        <v>37.7164</v>
      </c>
      <c r="K120" s="3" t="s">
        <v>11</v>
      </c>
      <c r="L120" s="2" t="s">
        <v>11</v>
      </c>
      <c r="M120" s="3" t="s">
        <v>247</v>
      </c>
      <c r="N120" s="3"/>
      <c r="O120" s="7">
        <f t="shared" si="1"/>
        <v>7.6437900632761986</v>
      </c>
    </row>
    <row r="121" spans="1:15" ht="58" x14ac:dyDescent="0.35">
      <c r="A121" s="4" t="s">
        <v>251</v>
      </c>
      <c r="B121" s="3" t="s">
        <v>252</v>
      </c>
      <c r="C121" s="3">
        <v>13.3537</v>
      </c>
      <c r="D121" s="3">
        <v>20</v>
      </c>
      <c r="E121" s="2" t="s">
        <v>11</v>
      </c>
      <c r="F121" s="3" t="s">
        <v>253</v>
      </c>
      <c r="H121" s="4" t="s">
        <v>251</v>
      </c>
      <c r="I121" s="3" t="s">
        <v>252</v>
      </c>
      <c r="J121" s="3">
        <v>11.981</v>
      </c>
      <c r="K121" s="3">
        <v>20</v>
      </c>
      <c r="L121" s="2" t="s">
        <v>11</v>
      </c>
      <c r="M121" s="3" t="s">
        <v>253</v>
      </c>
      <c r="N121" s="3"/>
      <c r="O121" s="7">
        <f t="shared" si="1"/>
        <v>0.10279547990444596</v>
      </c>
    </row>
    <row r="122" spans="1:15" ht="72.5" x14ac:dyDescent="0.35">
      <c r="A122" s="4" t="s">
        <v>254</v>
      </c>
      <c r="B122" s="3" t="s">
        <v>252</v>
      </c>
      <c r="C122" s="3">
        <v>15.604799999999999</v>
      </c>
      <c r="D122" s="3">
        <v>20</v>
      </c>
      <c r="E122" s="2">
        <v>0</v>
      </c>
      <c r="F122" s="3" t="s">
        <v>255</v>
      </c>
      <c r="H122" s="4" t="s">
        <v>254</v>
      </c>
      <c r="I122" s="3" t="s">
        <v>252</v>
      </c>
      <c r="J122" s="3">
        <v>32.279699999999998</v>
      </c>
      <c r="K122" s="3">
        <v>20</v>
      </c>
      <c r="L122" s="2">
        <v>0</v>
      </c>
      <c r="M122" s="3" t="s">
        <v>255</v>
      </c>
      <c r="N122" s="3"/>
      <c r="O122" s="7">
        <f t="shared" si="1"/>
        <v>1.0685750538295911</v>
      </c>
    </row>
    <row r="123" spans="1:15" ht="43.5" x14ac:dyDescent="0.35">
      <c r="A123" s="4" t="s">
        <v>256</v>
      </c>
      <c r="B123" s="3" t="s">
        <v>9</v>
      </c>
      <c r="C123" s="3">
        <v>1.8429599999999999</v>
      </c>
      <c r="D123" s="3" t="s">
        <v>11</v>
      </c>
      <c r="E123" s="2">
        <v>1</v>
      </c>
      <c r="F123" s="3" t="s">
        <v>257</v>
      </c>
      <c r="H123" s="4" t="s">
        <v>256</v>
      </c>
      <c r="I123" s="3" t="s">
        <v>9</v>
      </c>
      <c r="J123" s="3">
        <v>3.3586900000000002</v>
      </c>
      <c r="K123" s="3" t="s">
        <v>11</v>
      </c>
      <c r="L123" s="2">
        <v>1</v>
      </c>
      <c r="M123" s="3" t="s">
        <v>257</v>
      </c>
      <c r="N123" s="3"/>
      <c r="O123" s="7">
        <f t="shared" si="1"/>
        <v>0.82244324347788356</v>
      </c>
    </row>
    <row r="124" spans="1:15" ht="43.5" x14ac:dyDescent="0.35">
      <c r="A124" s="4" t="s">
        <v>258</v>
      </c>
      <c r="B124" s="3" t="s">
        <v>41</v>
      </c>
      <c r="C124" s="3">
        <v>0.131248</v>
      </c>
      <c r="D124" s="3">
        <v>20</v>
      </c>
      <c r="E124" s="2">
        <v>1</v>
      </c>
      <c r="F124" s="3" t="s">
        <v>259</v>
      </c>
      <c r="H124" s="4" t="s">
        <v>258</v>
      </c>
      <c r="I124" s="3" t="s">
        <v>41</v>
      </c>
      <c r="J124" s="3">
        <v>0.13755300000000001</v>
      </c>
      <c r="K124" s="3">
        <v>20</v>
      </c>
      <c r="L124" s="2">
        <v>1</v>
      </c>
      <c r="M124" s="3" t="s">
        <v>259</v>
      </c>
      <c r="N124" s="3"/>
      <c r="O124" s="7">
        <f t="shared" si="1"/>
        <v>4.8038827258320163E-2</v>
      </c>
    </row>
    <row r="125" spans="1:15" ht="58" x14ac:dyDescent="0.35">
      <c r="A125" s="4" t="s">
        <v>260</v>
      </c>
      <c r="B125" s="3" t="s">
        <v>41</v>
      </c>
      <c r="C125" s="3">
        <v>7.3681099999999998E-3</v>
      </c>
      <c r="D125" s="3">
        <v>20</v>
      </c>
      <c r="E125" s="2">
        <v>1</v>
      </c>
      <c r="F125" s="3" t="s">
        <v>261</v>
      </c>
      <c r="H125" s="4" t="s">
        <v>260</v>
      </c>
      <c r="I125" s="3" t="s">
        <v>41</v>
      </c>
      <c r="J125" s="3">
        <v>9.0808999999999994E-3</v>
      </c>
      <c r="K125" s="3">
        <v>20</v>
      </c>
      <c r="L125" s="2">
        <v>1</v>
      </c>
      <c r="M125" s="3" t="s">
        <v>261</v>
      </c>
      <c r="N125" s="3"/>
      <c r="O125" s="7">
        <f t="shared" si="1"/>
        <v>0.23245988455655517</v>
      </c>
    </row>
    <row r="126" spans="1:15" ht="58" x14ac:dyDescent="0.35">
      <c r="A126" s="4" t="s">
        <v>262</v>
      </c>
      <c r="B126" s="3" t="s">
        <v>177</v>
      </c>
      <c r="C126" s="3">
        <v>5.0333400000000003E-4</v>
      </c>
      <c r="D126" s="3" t="s">
        <v>11</v>
      </c>
      <c r="E126" s="2">
        <v>1</v>
      </c>
      <c r="F126" s="3" t="s">
        <v>263</v>
      </c>
      <c r="H126" s="4" t="s">
        <v>262</v>
      </c>
      <c r="I126" s="3" t="s">
        <v>177</v>
      </c>
      <c r="J126" s="3">
        <v>4.61824E-3</v>
      </c>
      <c r="K126" s="3" t="s">
        <v>11</v>
      </c>
      <c r="L126" s="2">
        <v>1</v>
      </c>
      <c r="M126" s="3" t="s">
        <v>263</v>
      </c>
      <c r="N126" s="3"/>
      <c r="O126" s="7">
        <f t="shared" si="1"/>
        <v>8.1752991055640969</v>
      </c>
    </row>
    <row r="127" spans="1:15" ht="58" x14ac:dyDescent="0.35">
      <c r="A127" s="4" t="s">
        <v>264</v>
      </c>
      <c r="B127" s="3" t="s">
        <v>265</v>
      </c>
      <c r="C127" s="5">
        <v>6.6061499999999998E-5</v>
      </c>
      <c r="D127" s="3">
        <v>20</v>
      </c>
      <c r="E127" s="2">
        <v>1</v>
      </c>
      <c r="F127" s="3" t="s">
        <v>266</v>
      </c>
      <c r="H127" s="4" t="s">
        <v>264</v>
      </c>
      <c r="I127" s="3" t="s">
        <v>265</v>
      </c>
      <c r="J127" s="3">
        <v>6.35252E-4</v>
      </c>
      <c r="K127" s="3">
        <v>20</v>
      </c>
      <c r="L127" s="2">
        <v>1</v>
      </c>
      <c r="M127" s="3" t="s">
        <v>266</v>
      </c>
      <c r="N127" s="3"/>
      <c r="O127" s="7">
        <f t="shared" si="1"/>
        <v>8.6160698742838111</v>
      </c>
    </row>
    <row r="128" spans="1:15" ht="43.5" x14ac:dyDescent="0.35">
      <c r="A128" s="4" t="s">
        <v>267</v>
      </c>
      <c r="B128" s="3" t="s">
        <v>232</v>
      </c>
      <c r="C128" s="3">
        <v>9.6098899999999994E-3</v>
      </c>
      <c r="D128" s="3">
        <v>20</v>
      </c>
      <c r="E128" s="2">
        <v>1</v>
      </c>
      <c r="F128" s="3" t="s">
        <v>268</v>
      </c>
      <c r="H128" s="4" t="s">
        <v>267</v>
      </c>
      <c r="I128" s="3" t="s">
        <v>232</v>
      </c>
      <c r="J128" s="3">
        <v>8.7566699999999994E-3</v>
      </c>
      <c r="K128" s="3">
        <v>20</v>
      </c>
      <c r="L128" s="2">
        <v>1</v>
      </c>
      <c r="M128" s="3" t="s">
        <v>268</v>
      </c>
      <c r="N128" s="3"/>
      <c r="O128" s="7">
        <f t="shared" si="1"/>
        <v>8.87856156522083E-2</v>
      </c>
    </row>
    <row r="129" spans="1:15" ht="29" x14ac:dyDescent="0.35">
      <c r="A129" s="4" t="s">
        <v>269</v>
      </c>
      <c r="B129" s="3" t="s">
        <v>47</v>
      </c>
      <c r="C129" s="3">
        <v>0.475636</v>
      </c>
      <c r="D129" s="3" t="s">
        <v>11</v>
      </c>
      <c r="E129" s="2">
        <v>1</v>
      </c>
      <c r="F129" s="3" t="s">
        <v>270</v>
      </c>
      <c r="H129" s="4" t="s">
        <v>269</v>
      </c>
      <c r="I129" s="3" t="s">
        <v>47</v>
      </c>
      <c r="J129" s="3">
        <v>1.10382</v>
      </c>
      <c r="K129" s="3" t="s">
        <v>11</v>
      </c>
      <c r="L129" s="2">
        <v>1</v>
      </c>
      <c r="M129" s="3" t="s">
        <v>270</v>
      </c>
      <c r="N129" s="3"/>
      <c r="O129" s="7">
        <f t="shared" si="1"/>
        <v>1.3207242513182351</v>
      </c>
    </row>
    <row r="130" spans="1:15" ht="29" x14ac:dyDescent="0.35">
      <c r="A130" s="4" t="s">
        <v>271</v>
      </c>
      <c r="B130" s="3" t="s">
        <v>230</v>
      </c>
      <c r="C130" s="5">
        <v>8.6479199999999995E-7</v>
      </c>
      <c r="D130" s="3" t="s">
        <v>11</v>
      </c>
      <c r="E130" s="2">
        <v>1</v>
      </c>
      <c r="F130" s="3" t="s">
        <v>270</v>
      </c>
      <c r="H130" s="4" t="s">
        <v>271</v>
      </c>
      <c r="I130" s="3" t="s">
        <v>230</v>
      </c>
      <c r="J130" s="5">
        <v>2.00694E-6</v>
      </c>
      <c r="K130" s="3" t="s">
        <v>11</v>
      </c>
      <c r="L130" s="2">
        <v>1</v>
      </c>
      <c r="M130" s="3" t="s">
        <v>270</v>
      </c>
      <c r="N130" s="3"/>
      <c r="O130" s="7">
        <f t="shared" si="1"/>
        <v>1.3207198956512087</v>
      </c>
    </row>
    <row r="131" spans="1:15" ht="29" x14ac:dyDescent="0.35">
      <c r="A131" s="4" t="s">
        <v>272</v>
      </c>
      <c r="B131" s="3" t="s">
        <v>177</v>
      </c>
      <c r="C131" s="5">
        <v>2.06685E-5</v>
      </c>
      <c r="D131" s="3" t="s">
        <v>11</v>
      </c>
      <c r="E131" s="2">
        <v>1</v>
      </c>
      <c r="F131" s="3" t="s">
        <v>273</v>
      </c>
      <c r="H131" s="4" t="s">
        <v>272</v>
      </c>
      <c r="I131" s="3" t="s">
        <v>177</v>
      </c>
      <c r="J131" s="5">
        <v>4.7965800000000001E-5</v>
      </c>
      <c r="K131" s="3" t="s">
        <v>11</v>
      </c>
      <c r="L131" s="2">
        <v>1</v>
      </c>
      <c r="M131" s="3" t="s">
        <v>273</v>
      </c>
      <c r="N131" s="3"/>
      <c r="O131" s="7">
        <f t="shared" si="1"/>
        <v>1.3207199361346977</v>
      </c>
    </row>
    <row r="132" spans="1:15" ht="29" x14ac:dyDescent="0.35">
      <c r="A132" s="4" t="s">
        <v>274</v>
      </c>
      <c r="B132" s="3" t="s">
        <v>177</v>
      </c>
      <c r="C132" s="3">
        <v>1.03343E-4</v>
      </c>
      <c r="D132" s="3" t="s">
        <v>11</v>
      </c>
      <c r="E132" s="2">
        <v>1</v>
      </c>
      <c r="F132" s="3" t="s">
        <v>275</v>
      </c>
      <c r="H132" s="4" t="s">
        <v>274</v>
      </c>
      <c r="I132" s="3" t="s">
        <v>177</v>
      </c>
      <c r="J132" s="3">
        <v>2.39829E-4</v>
      </c>
      <c r="K132" s="3" t="s">
        <v>11</v>
      </c>
      <c r="L132" s="2">
        <v>1</v>
      </c>
      <c r="M132" s="3" t="s">
        <v>275</v>
      </c>
      <c r="N132" s="3"/>
      <c r="O132" s="7">
        <f t="shared" ref="O132:O195" si="2">ABS(C132-J132)/ABS(C132)</f>
        <v>1.3207087078950679</v>
      </c>
    </row>
    <row r="133" spans="1:15" ht="58" x14ac:dyDescent="0.35">
      <c r="A133" s="4" t="s">
        <v>276</v>
      </c>
      <c r="B133" s="3" t="s">
        <v>9</v>
      </c>
      <c r="C133" s="3">
        <v>0.14414099999999999</v>
      </c>
      <c r="D133" s="3" t="s">
        <v>11</v>
      </c>
      <c r="E133" s="2">
        <v>1</v>
      </c>
      <c r="F133" s="3" t="s">
        <v>277</v>
      </c>
      <c r="H133" s="4" t="s">
        <v>276</v>
      </c>
      <c r="I133" s="3" t="s">
        <v>9</v>
      </c>
      <c r="J133" s="3">
        <v>0.16531199999999999</v>
      </c>
      <c r="K133" s="3" t="s">
        <v>11</v>
      </c>
      <c r="L133" s="2">
        <v>1</v>
      </c>
      <c r="M133" s="3" t="s">
        <v>277</v>
      </c>
      <c r="N133" s="3"/>
      <c r="O133" s="7">
        <f t="shared" si="2"/>
        <v>0.14687701625491703</v>
      </c>
    </row>
    <row r="134" spans="1:15" ht="43.5" x14ac:dyDescent="0.35">
      <c r="A134" s="4" t="s">
        <v>278</v>
      </c>
      <c r="B134" s="3" t="s">
        <v>180</v>
      </c>
      <c r="C134" s="3">
        <v>3.7250199999999997E-2</v>
      </c>
      <c r="D134" s="3" t="s">
        <v>11</v>
      </c>
      <c r="E134" s="2">
        <v>1</v>
      </c>
      <c r="F134" s="3" t="s">
        <v>279</v>
      </c>
      <c r="H134" s="4" t="s">
        <v>278</v>
      </c>
      <c r="I134" s="3" t="s">
        <v>180</v>
      </c>
      <c r="J134" s="3">
        <v>3.6624700000000003E-2</v>
      </c>
      <c r="K134" s="3" t="s">
        <v>11</v>
      </c>
      <c r="L134" s="2">
        <v>1</v>
      </c>
      <c r="M134" s="3" t="s">
        <v>279</v>
      </c>
      <c r="N134" s="3"/>
      <c r="O134" s="7">
        <f t="shared" si="2"/>
        <v>1.6791856151107756E-2</v>
      </c>
    </row>
    <row r="135" spans="1:15" ht="43.5" x14ac:dyDescent="0.35">
      <c r="A135" s="4" t="s">
        <v>280</v>
      </c>
      <c r="B135" s="3" t="s">
        <v>230</v>
      </c>
      <c r="C135" s="5">
        <v>4.32533E-7</v>
      </c>
      <c r="D135" s="3" t="s">
        <v>11</v>
      </c>
      <c r="E135" s="2">
        <v>1</v>
      </c>
      <c r="F135" s="3" t="s">
        <v>281</v>
      </c>
      <c r="H135" s="4" t="s">
        <v>280</v>
      </c>
      <c r="I135" s="3" t="s">
        <v>230</v>
      </c>
      <c r="J135" s="5">
        <v>4.11107E-7</v>
      </c>
      <c r="K135" s="3" t="s">
        <v>11</v>
      </c>
      <c r="L135" s="2">
        <v>1</v>
      </c>
      <c r="M135" s="3" t="s">
        <v>281</v>
      </c>
      <c r="N135" s="3"/>
      <c r="O135" s="7">
        <f t="shared" si="2"/>
        <v>4.953610475963683E-2</v>
      </c>
    </row>
    <row r="136" spans="1:15" ht="58" x14ac:dyDescent="0.35">
      <c r="A136" s="4" t="s">
        <v>282</v>
      </c>
      <c r="B136" s="3" t="s">
        <v>9</v>
      </c>
      <c r="C136" s="3">
        <v>0.27792699999999998</v>
      </c>
      <c r="D136" s="3" t="s">
        <v>11</v>
      </c>
      <c r="E136" s="2">
        <v>1</v>
      </c>
      <c r="F136" s="3" t="s">
        <v>283</v>
      </c>
      <c r="H136" s="4" t="s">
        <v>282</v>
      </c>
      <c r="I136" s="3" t="s">
        <v>9</v>
      </c>
      <c r="J136" s="3">
        <v>0.30339300000000002</v>
      </c>
      <c r="K136" s="3" t="s">
        <v>11</v>
      </c>
      <c r="L136" s="2">
        <v>1</v>
      </c>
      <c r="M136" s="3" t="s">
        <v>283</v>
      </c>
      <c r="N136" s="3"/>
      <c r="O136" s="7">
        <f t="shared" si="2"/>
        <v>9.1628377235749126E-2</v>
      </c>
    </row>
    <row r="137" spans="1:15" ht="43.5" x14ac:dyDescent="0.35">
      <c r="A137" s="4" t="s">
        <v>284</v>
      </c>
      <c r="B137" s="3" t="s">
        <v>177</v>
      </c>
      <c r="C137" s="5">
        <v>8.0409300000000003E-5</v>
      </c>
      <c r="D137" s="3" t="s">
        <v>11</v>
      </c>
      <c r="E137" s="2">
        <v>1</v>
      </c>
      <c r="F137" s="3" t="s">
        <v>285</v>
      </c>
      <c r="H137" s="4" t="s">
        <v>284</v>
      </c>
      <c r="I137" s="3" t="s">
        <v>177</v>
      </c>
      <c r="J137" s="3">
        <v>1.2189E-4</v>
      </c>
      <c r="K137" s="3" t="s">
        <v>11</v>
      </c>
      <c r="L137" s="2">
        <v>1</v>
      </c>
      <c r="M137" s="3" t="s">
        <v>285</v>
      </c>
      <c r="N137" s="3"/>
      <c r="O137" s="7">
        <f t="shared" si="2"/>
        <v>0.51586943301334542</v>
      </c>
    </row>
    <row r="138" spans="1:15" ht="43.5" x14ac:dyDescent="0.35">
      <c r="A138" s="4" t="s">
        <v>286</v>
      </c>
      <c r="B138" s="3" t="s">
        <v>177</v>
      </c>
      <c r="C138" s="5">
        <v>1.6081899999999999E-5</v>
      </c>
      <c r="D138" s="3" t="s">
        <v>11</v>
      </c>
      <c r="E138" s="2">
        <v>1</v>
      </c>
      <c r="F138" s="3" t="s">
        <v>287</v>
      </c>
      <c r="H138" s="4" t="s">
        <v>286</v>
      </c>
      <c r="I138" s="3" t="s">
        <v>177</v>
      </c>
      <c r="J138" s="5">
        <v>2.4377999999999999E-5</v>
      </c>
      <c r="K138" s="3" t="s">
        <v>11</v>
      </c>
      <c r="L138" s="2">
        <v>1</v>
      </c>
      <c r="M138" s="3" t="s">
        <v>287</v>
      </c>
      <c r="N138" s="3"/>
      <c r="O138" s="7">
        <f t="shared" si="2"/>
        <v>0.51586566263936473</v>
      </c>
    </row>
    <row r="139" spans="1:15" ht="43.5" x14ac:dyDescent="0.35">
      <c r="A139" s="4" t="s">
        <v>288</v>
      </c>
      <c r="B139" s="3" t="s">
        <v>47</v>
      </c>
      <c r="C139" s="3">
        <v>0.34845799999999999</v>
      </c>
      <c r="D139" s="3" t="s">
        <v>11</v>
      </c>
      <c r="E139" s="2">
        <v>1</v>
      </c>
      <c r="F139" s="3" t="s">
        <v>289</v>
      </c>
      <c r="H139" s="4" t="s">
        <v>288</v>
      </c>
      <c r="I139" s="3" t="s">
        <v>47</v>
      </c>
      <c r="J139" s="3">
        <v>0.54044400000000004</v>
      </c>
      <c r="K139" s="3" t="s">
        <v>11</v>
      </c>
      <c r="L139" s="2">
        <v>1</v>
      </c>
      <c r="M139" s="3" t="s">
        <v>289</v>
      </c>
      <c r="N139" s="3"/>
      <c r="O139" s="7">
        <f t="shared" si="2"/>
        <v>0.55095879560807914</v>
      </c>
    </row>
    <row r="140" spans="1:15" ht="29" x14ac:dyDescent="0.35">
      <c r="A140" s="4" t="s">
        <v>290</v>
      </c>
      <c r="B140" s="3" t="s">
        <v>252</v>
      </c>
      <c r="C140" s="3">
        <v>7.7945700000000002</v>
      </c>
      <c r="D140" s="3">
        <v>20</v>
      </c>
      <c r="E140" s="2">
        <v>1</v>
      </c>
      <c r="F140" s="3" t="s">
        <v>291</v>
      </c>
      <c r="H140" s="4" t="s">
        <v>290</v>
      </c>
      <c r="I140" s="3" t="s">
        <v>252</v>
      </c>
      <c r="J140" s="3">
        <v>7.87256</v>
      </c>
      <c r="K140" s="3">
        <v>20</v>
      </c>
      <c r="L140" s="2">
        <v>1</v>
      </c>
      <c r="M140" s="3" t="s">
        <v>291</v>
      </c>
      <c r="N140" s="3"/>
      <c r="O140" s="7">
        <f t="shared" si="2"/>
        <v>1.0005683443730672E-2</v>
      </c>
    </row>
    <row r="141" spans="1:15" ht="58" x14ac:dyDescent="0.35">
      <c r="A141" s="4" t="s">
        <v>292</v>
      </c>
      <c r="B141" s="3" t="s">
        <v>9</v>
      </c>
      <c r="C141" s="3">
        <v>2.5838800000000002</v>
      </c>
      <c r="D141" s="3" t="s">
        <v>11</v>
      </c>
      <c r="E141" s="2" t="s">
        <v>11</v>
      </c>
      <c r="F141" s="3" t="s">
        <v>293</v>
      </c>
      <c r="H141" s="4" t="s">
        <v>292</v>
      </c>
      <c r="I141" s="3" t="s">
        <v>9</v>
      </c>
      <c r="J141" s="3">
        <v>2.2836699999999999</v>
      </c>
      <c r="K141" s="3" t="s">
        <v>11</v>
      </c>
      <c r="L141" s="2" t="s">
        <v>11</v>
      </c>
      <c r="M141" s="3" t="s">
        <v>293</v>
      </c>
      <c r="N141" s="3"/>
      <c r="O141" s="7">
        <f t="shared" si="2"/>
        <v>0.11618573617969886</v>
      </c>
    </row>
    <row r="142" spans="1:15" ht="72.5" x14ac:dyDescent="0.35">
      <c r="A142" s="4" t="s">
        <v>294</v>
      </c>
      <c r="B142" s="3" t="s">
        <v>9</v>
      </c>
      <c r="C142" s="3">
        <v>0.26564700000000002</v>
      </c>
      <c r="D142" s="3" t="s">
        <v>11</v>
      </c>
      <c r="E142" s="2">
        <v>1</v>
      </c>
      <c r="F142" s="3" t="s">
        <v>295</v>
      </c>
      <c r="H142" s="4" t="s">
        <v>294</v>
      </c>
      <c r="I142" s="3" t="s">
        <v>9</v>
      </c>
      <c r="J142" s="3">
        <v>0.55523199999999995</v>
      </c>
      <c r="K142" s="3" t="s">
        <v>11</v>
      </c>
      <c r="L142" s="2">
        <v>1</v>
      </c>
      <c r="M142" s="3" t="s">
        <v>295</v>
      </c>
      <c r="N142" s="3"/>
      <c r="O142" s="7">
        <f t="shared" si="2"/>
        <v>1.0901120660124146</v>
      </c>
    </row>
    <row r="143" spans="1:15" ht="58" x14ac:dyDescent="0.35">
      <c r="A143" s="4" t="s">
        <v>296</v>
      </c>
      <c r="B143" s="3" t="s">
        <v>180</v>
      </c>
      <c r="C143" s="3">
        <v>6.8650799999999998E-2</v>
      </c>
      <c r="D143" s="3" t="s">
        <v>11</v>
      </c>
      <c r="E143" s="2">
        <v>1</v>
      </c>
      <c r="F143" s="3" t="s">
        <v>297</v>
      </c>
      <c r="H143" s="4" t="s">
        <v>296</v>
      </c>
      <c r="I143" s="3" t="s">
        <v>180</v>
      </c>
      <c r="J143" s="3">
        <v>0.123011</v>
      </c>
      <c r="K143" s="3" t="s">
        <v>11</v>
      </c>
      <c r="L143" s="2">
        <v>1</v>
      </c>
      <c r="M143" s="3" t="s">
        <v>297</v>
      </c>
      <c r="N143" s="3"/>
      <c r="O143" s="7">
        <f t="shared" si="2"/>
        <v>0.79183636607293728</v>
      </c>
    </row>
    <row r="144" spans="1:15" ht="58" x14ac:dyDescent="0.35">
      <c r="A144" s="4" t="s">
        <v>298</v>
      </c>
      <c r="B144" s="3" t="s">
        <v>230</v>
      </c>
      <c r="C144" s="5">
        <v>2.7074999999999999E-6</v>
      </c>
      <c r="D144" s="3" t="s">
        <v>11</v>
      </c>
      <c r="E144" s="2">
        <v>1</v>
      </c>
      <c r="F144" s="3" t="s">
        <v>299</v>
      </c>
      <c r="H144" s="4" t="s">
        <v>298</v>
      </c>
      <c r="I144" s="3" t="s">
        <v>230</v>
      </c>
      <c r="J144" s="5">
        <v>1.5576299999999999E-5</v>
      </c>
      <c r="K144" s="3" t="s">
        <v>11</v>
      </c>
      <c r="L144" s="2">
        <v>1</v>
      </c>
      <c r="M144" s="3" t="s">
        <v>299</v>
      </c>
      <c r="N144" s="3"/>
      <c r="O144" s="7">
        <f t="shared" si="2"/>
        <v>4.7530193905817164</v>
      </c>
    </row>
    <row r="145" spans="1:15" ht="58" x14ac:dyDescent="0.35">
      <c r="A145" s="4" t="s">
        <v>300</v>
      </c>
      <c r="B145" s="3" t="s">
        <v>230</v>
      </c>
      <c r="C145" s="5">
        <v>2.7074999999999999E-6</v>
      </c>
      <c r="D145" s="3" t="s">
        <v>11</v>
      </c>
      <c r="E145" s="2">
        <v>1</v>
      </c>
      <c r="F145" s="3" t="s">
        <v>301</v>
      </c>
      <c r="H145" s="4" t="s">
        <v>300</v>
      </c>
      <c r="I145" s="3" t="s">
        <v>230</v>
      </c>
      <c r="J145" s="5">
        <v>1.5576299999999999E-5</v>
      </c>
      <c r="K145" s="3" t="s">
        <v>11</v>
      </c>
      <c r="L145" s="2">
        <v>1</v>
      </c>
      <c r="M145" s="3" t="s">
        <v>301</v>
      </c>
      <c r="N145" s="3"/>
      <c r="O145" s="7">
        <f t="shared" si="2"/>
        <v>4.7530193905817164</v>
      </c>
    </row>
    <row r="146" spans="1:15" ht="58" x14ac:dyDescent="0.35">
      <c r="A146" s="4" t="s">
        <v>302</v>
      </c>
      <c r="B146" s="3" t="s">
        <v>177</v>
      </c>
      <c r="C146" s="3">
        <v>5.0333400000000003E-4</v>
      </c>
      <c r="D146" s="3" t="s">
        <v>11</v>
      </c>
      <c r="E146" s="2">
        <v>1</v>
      </c>
      <c r="F146" s="3" t="s">
        <v>303</v>
      </c>
      <c r="H146" s="4" t="s">
        <v>302</v>
      </c>
      <c r="I146" s="3" t="s">
        <v>177</v>
      </c>
      <c r="J146" s="3">
        <v>4.61824E-3</v>
      </c>
      <c r="K146" s="3" t="s">
        <v>11</v>
      </c>
      <c r="L146" s="2">
        <v>1</v>
      </c>
      <c r="M146" s="3" t="s">
        <v>303</v>
      </c>
      <c r="N146" s="3"/>
      <c r="O146" s="7">
        <f t="shared" si="2"/>
        <v>8.1752991055640969</v>
      </c>
    </row>
    <row r="147" spans="1:15" ht="58" x14ac:dyDescent="0.35">
      <c r="A147" s="4" t="s">
        <v>304</v>
      </c>
      <c r="B147" s="3" t="s">
        <v>177</v>
      </c>
      <c r="C147" s="3">
        <v>1.00667E-4</v>
      </c>
      <c r="D147" s="3" t="s">
        <v>11</v>
      </c>
      <c r="E147" s="2">
        <v>1</v>
      </c>
      <c r="F147" s="3" t="s">
        <v>305</v>
      </c>
      <c r="H147" s="4" t="s">
        <v>304</v>
      </c>
      <c r="I147" s="3" t="s">
        <v>177</v>
      </c>
      <c r="J147" s="3">
        <v>9.23648E-4</v>
      </c>
      <c r="K147" s="3" t="s">
        <v>11</v>
      </c>
      <c r="L147" s="2">
        <v>1</v>
      </c>
      <c r="M147" s="3" t="s">
        <v>305</v>
      </c>
      <c r="N147" s="3"/>
      <c r="O147" s="7">
        <f t="shared" si="2"/>
        <v>8.1752808765533889</v>
      </c>
    </row>
    <row r="148" spans="1:15" ht="72.5" x14ac:dyDescent="0.35">
      <c r="A148" s="4" t="s">
        <v>306</v>
      </c>
      <c r="B148" s="3" t="s">
        <v>47</v>
      </c>
      <c r="C148" s="3">
        <v>2.1812200000000002</v>
      </c>
      <c r="D148" s="3" t="s">
        <v>11</v>
      </c>
      <c r="E148" s="2">
        <v>1</v>
      </c>
      <c r="F148" s="3" t="s">
        <v>307</v>
      </c>
      <c r="H148" s="4" t="s">
        <v>306</v>
      </c>
      <c r="I148" s="3" t="s">
        <v>47</v>
      </c>
      <c r="J148" s="3">
        <v>20.476700000000001</v>
      </c>
      <c r="K148" s="3" t="s">
        <v>11</v>
      </c>
      <c r="L148" s="2">
        <v>1</v>
      </c>
      <c r="M148" s="3" t="s">
        <v>307</v>
      </c>
      <c r="N148" s="3"/>
      <c r="O148" s="7">
        <f t="shared" si="2"/>
        <v>8.3877279687514328</v>
      </c>
    </row>
    <row r="149" spans="1:15" ht="43.5" x14ac:dyDescent="0.35">
      <c r="A149" s="4" t="s">
        <v>308</v>
      </c>
      <c r="B149" s="3" t="s">
        <v>252</v>
      </c>
      <c r="C149" s="3">
        <v>21.769100000000002</v>
      </c>
      <c r="D149" s="3">
        <v>20</v>
      </c>
      <c r="E149" s="2">
        <v>1</v>
      </c>
      <c r="F149" s="3" t="s">
        <v>309</v>
      </c>
      <c r="H149" s="4" t="s">
        <v>308</v>
      </c>
      <c r="I149" s="3" t="s">
        <v>252</v>
      </c>
      <c r="J149" s="3">
        <v>34.296199999999999</v>
      </c>
      <c r="K149" s="3">
        <v>20</v>
      </c>
      <c r="L149" s="2">
        <v>1</v>
      </c>
      <c r="M149" s="3" t="s">
        <v>309</v>
      </c>
      <c r="N149" s="3"/>
      <c r="O149" s="7">
        <f t="shared" si="2"/>
        <v>0.57545328010804286</v>
      </c>
    </row>
    <row r="150" spans="1:15" ht="29" x14ac:dyDescent="0.35">
      <c r="A150" s="4" t="s">
        <v>310</v>
      </c>
      <c r="B150" s="3" t="s">
        <v>9</v>
      </c>
      <c r="C150" s="3">
        <v>7.4269199999999998E-4</v>
      </c>
      <c r="D150" s="3" t="s">
        <v>11</v>
      </c>
      <c r="E150" s="2" t="s">
        <v>11</v>
      </c>
      <c r="F150" s="3" t="s">
        <v>311</v>
      </c>
      <c r="H150" s="4" t="s">
        <v>310</v>
      </c>
      <c r="I150" s="3" t="s">
        <v>9</v>
      </c>
      <c r="J150" s="3">
        <v>1.3254200000000001E-4</v>
      </c>
      <c r="K150" s="3" t="s">
        <v>11</v>
      </c>
      <c r="L150" s="2" t="s">
        <v>11</v>
      </c>
      <c r="M150" s="3" t="s">
        <v>311</v>
      </c>
      <c r="N150" s="3"/>
      <c r="O150" s="7">
        <f t="shared" si="2"/>
        <v>0.82153840353740171</v>
      </c>
    </row>
    <row r="151" spans="1:15" ht="58" x14ac:dyDescent="0.35">
      <c r="A151" s="4" t="s">
        <v>312</v>
      </c>
      <c r="B151" s="3" t="s">
        <v>9</v>
      </c>
      <c r="C151" s="3">
        <v>0.34509400000000001</v>
      </c>
      <c r="D151" s="3" t="s">
        <v>11</v>
      </c>
      <c r="E151" s="2">
        <v>1</v>
      </c>
      <c r="F151" s="3" t="s">
        <v>313</v>
      </c>
      <c r="H151" s="4" t="s">
        <v>312</v>
      </c>
      <c r="I151" s="3" t="s">
        <v>9</v>
      </c>
      <c r="J151" s="3">
        <v>0.24957099999999999</v>
      </c>
      <c r="K151" s="3" t="s">
        <v>11</v>
      </c>
      <c r="L151" s="2">
        <v>1</v>
      </c>
      <c r="M151" s="3" t="s">
        <v>313</v>
      </c>
      <c r="N151" s="3"/>
      <c r="O151" s="7">
        <f t="shared" si="2"/>
        <v>0.27680284212417494</v>
      </c>
    </row>
    <row r="152" spans="1:15" ht="58" x14ac:dyDescent="0.35">
      <c r="A152" s="4" t="s">
        <v>314</v>
      </c>
      <c r="B152" s="3" t="s">
        <v>9</v>
      </c>
      <c r="C152" s="3">
        <v>1.11643</v>
      </c>
      <c r="D152" s="3" t="s">
        <v>11</v>
      </c>
      <c r="E152" s="2">
        <v>1</v>
      </c>
      <c r="F152" s="3" t="s">
        <v>315</v>
      </c>
      <c r="H152" s="4" t="s">
        <v>314</v>
      </c>
      <c r="I152" s="3" t="s">
        <v>9</v>
      </c>
      <c r="J152" s="3">
        <v>2.04135</v>
      </c>
      <c r="K152" s="3" t="s">
        <v>11</v>
      </c>
      <c r="L152" s="2">
        <v>1</v>
      </c>
      <c r="M152" s="3" t="s">
        <v>315</v>
      </c>
      <c r="N152" s="3"/>
      <c r="O152" s="7">
        <f t="shared" si="2"/>
        <v>0.82846215167990822</v>
      </c>
    </row>
    <row r="153" spans="1:15" ht="43.5" x14ac:dyDescent="0.35">
      <c r="A153" s="4" t="s">
        <v>316</v>
      </c>
      <c r="B153" s="3" t="s">
        <v>180</v>
      </c>
      <c r="C153" s="3">
        <v>0.28851700000000002</v>
      </c>
      <c r="D153" s="3" t="s">
        <v>11</v>
      </c>
      <c r="E153" s="2">
        <v>1</v>
      </c>
      <c r="F153" s="3" t="s">
        <v>317</v>
      </c>
      <c r="H153" s="4" t="s">
        <v>316</v>
      </c>
      <c r="I153" s="3" t="s">
        <v>180</v>
      </c>
      <c r="J153" s="3">
        <v>0.45225900000000002</v>
      </c>
      <c r="K153" s="3" t="s">
        <v>11</v>
      </c>
      <c r="L153" s="2">
        <v>1</v>
      </c>
      <c r="M153" s="3" t="s">
        <v>317</v>
      </c>
      <c r="N153" s="3"/>
      <c r="O153" s="7">
        <f t="shared" si="2"/>
        <v>0.56752981626732557</v>
      </c>
    </row>
    <row r="154" spans="1:15" ht="43.5" x14ac:dyDescent="0.35">
      <c r="A154" s="4" t="s">
        <v>318</v>
      </c>
      <c r="B154" s="3" t="s">
        <v>230</v>
      </c>
      <c r="C154" s="3">
        <v>2.00977E-4</v>
      </c>
      <c r="D154" s="3" t="s">
        <v>11</v>
      </c>
      <c r="E154" s="2">
        <v>1</v>
      </c>
      <c r="F154" s="3" t="s">
        <v>319</v>
      </c>
      <c r="H154" s="4" t="s">
        <v>318</v>
      </c>
      <c r="I154" s="3" t="s">
        <v>230</v>
      </c>
      <c r="J154" s="3">
        <v>7.7409600000000005E-4</v>
      </c>
      <c r="K154" s="3" t="s">
        <v>11</v>
      </c>
      <c r="L154" s="2">
        <v>1</v>
      </c>
      <c r="M154" s="3" t="s">
        <v>319</v>
      </c>
      <c r="N154" s="3"/>
      <c r="O154" s="7">
        <f t="shared" si="2"/>
        <v>2.8516646183394125</v>
      </c>
    </row>
    <row r="155" spans="1:15" ht="43.5" x14ac:dyDescent="0.35">
      <c r="A155" s="4" t="s">
        <v>320</v>
      </c>
      <c r="B155" s="3" t="s">
        <v>230</v>
      </c>
      <c r="C155" s="3">
        <v>1.11679E-4</v>
      </c>
      <c r="D155" s="3" t="s">
        <v>11</v>
      </c>
      <c r="E155" s="2">
        <v>1</v>
      </c>
      <c r="F155" s="3" t="s">
        <v>321</v>
      </c>
      <c r="H155" s="4" t="s">
        <v>320</v>
      </c>
      <c r="I155" s="3" t="s">
        <v>230</v>
      </c>
      <c r="J155" s="3">
        <v>1.14652E-3</v>
      </c>
      <c r="K155" s="3" t="s">
        <v>11</v>
      </c>
      <c r="L155" s="2">
        <v>1</v>
      </c>
      <c r="M155" s="3" t="s">
        <v>321</v>
      </c>
      <c r="N155" s="3"/>
      <c r="O155" s="7">
        <f t="shared" si="2"/>
        <v>9.2662094037374985</v>
      </c>
    </row>
    <row r="156" spans="1:15" ht="43.5" x14ac:dyDescent="0.35">
      <c r="A156" s="4" t="s">
        <v>322</v>
      </c>
      <c r="B156" s="3" t="s">
        <v>177</v>
      </c>
      <c r="C156" s="3">
        <v>3.7362399999999997E-2</v>
      </c>
      <c r="D156" s="3" t="s">
        <v>11</v>
      </c>
      <c r="E156" s="2">
        <v>1</v>
      </c>
      <c r="F156" s="3" t="s">
        <v>323</v>
      </c>
      <c r="H156" s="4" t="s">
        <v>322</v>
      </c>
      <c r="I156" s="3" t="s">
        <v>177</v>
      </c>
      <c r="J156" s="3">
        <v>0.22951299999999999</v>
      </c>
      <c r="K156" s="3" t="s">
        <v>11</v>
      </c>
      <c r="L156" s="2">
        <v>1</v>
      </c>
      <c r="M156" s="3" t="s">
        <v>323</v>
      </c>
      <c r="N156" s="3"/>
      <c r="O156" s="7">
        <f t="shared" si="2"/>
        <v>5.1428869665760235</v>
      </c>
    </row>
    <row r="157" spans="1:15" ht="43.5" x14ac:dyDescent="0.35">
      <c r="A157" s="4" t="s">
        <v>324</v>
      </c>
      <c r="B157" s="3" t="s">
        <v>177</v>
      </c>
      <c r="C157" s="3">
        <v>7.4724800000000001E-3</v>
      </c>
      <c r="D157" s="3" t="s">
        <v>11</v>
      </c>
      <c r="E157" s="2">
        <v>1</v>
      </c>
      <c r="F157" s="3" t="s">
        <v>325</v>
      </c>
      <c r="H157" s="4" t="s">
        <v>324</v>
      </c>
      <c r="I157" s="3" t="s">
        <v>177</v>
      </c>
      <c r="J157" s="3">
        <v>4.5902600000000002E-2</v>
      </c>
      <c r="K157" s="3" t="s">
        <v>11</v>
      </c>
      <c r="L157" s="2">
        <v>1</v>
      </c>
      <c r="M157" s="3" t="s">
        <v>325</v>
      </c>
      <c r="N157" s="3"/>
      <c r="O157" s="7">
        <f t="shared" si="2"/>
        <v>5.1428869665760226</v>
      </c>
    </row>
    <row r="158" spans="1:15" ht="58" x14ac:dyDescent="0.35">
      <c r="A158" s="4" t="s">
        <v>326</v>
      </c>
      <c r="B158" s="3" t="s">
        <v>47</v>
      </c>
      <c r="C158" s="3">
        <v>161.91200000000001</v>
      </c>
      <c r="D158" s="3" t="s">
        <v>11</v>
      </c>
      <c r="E158" s="2">
        <v>1</v>
      </c>
      <c r="F158" s="3" t="s">
        <v>327</v>
      </c>
      <c r="H158" s="4" t="s">
        <v>326</v>
      </c>
      <c r="I158" s="3" t="s">
        <v>47</v>
      </c>
      <c r="J158" s="3">
        <v>1017.63</v>
      </c>
      <c r="K158" s="3" t="s">
        <v>11</v>
      </c>
      <c r="L158" s="2">
        <v>1</v>
      </c>
      <c r="M158" s="3" t="s">
        <v>327</v>
      </c>
      <c r="N158" s="3"/>
      <c r="O158" s="7">
        <f t="shared" si="2"/>
        <v>5.2850807846237462</v>
      </c>
    </row>
    <row r="159" spans="1:15" ht="29" x14ac:dyDescent="0.35">
      <c r="A159" s="4" t="s">
        <v>328</v>
      </c>
      <c r="B159" s="3" t="s">
        <v>252</v>
      </c>
      <c r="C159" s="3">
        <v>126.97799999999999</v>
      </c>
      <c r="D159" s="3">
        <v>20</v>
      </c>
      <c r="E159" s="2">
        <v>1</v>
      </c>
      <c r="F159" s="3" t="s">
        <v>329</v>
      </c>
      <c r="H159" s="4" t="s">
        <v>328</v>
      </c>
      <c r="I159" s="3" t="s">
        <v>252</v>
      </c>
      <c r="J159" s="3">
        <v>117.464</v>
      </c>
      <c r="K159" s="3">
        <v>20</v>
      </c>
      <c r="L159" s="2">
        <v>1</v>
      </c>
      <c r="M159" s="3" t="s">
        <v>329</v>
      </c>
      <c r="N159" s="3"/>
      <c r="O159" s="7">
        <f t="shared" si="2"/>
        <v>7.4926365197120731E-2</v>
      </c>
    </row>
    <row r="160" spans="1:15" ht="58" x14ac:dyDescent="0.35">
      <c r="A160" s="4" t="s">
        <v>330</v>
      </c>
      <c r="B160" s="3" t="s">
        <v>9</v>
      </c>
      <c r="C160" s="3">
        <v>7.4874700000000001</v>
      </c>
      <c r="D160" s="3" t="s">
        <v>11</v>
      </c>
      <c r="E160" s="2" t="s">
        <v>11</v>
      </c>
      <c r="F160" s="3" t="s">
        <v>331</v>
      </c>
      <c r="H160" s="4" t="s">
        <v>330</v>
      </c>
      <c r="I160" s="3" t="s">
        <v>9</v>
      </c>
      <c r="J160" s="3">
        <v>9.1503800000000002</v>
      </c>
      <c r="K160" s="3" t="s">
        <v>11</v>
      </c>
      <c r="L160" s="2" t="s">
        <v>11</v>
      </c>
      <c r="M160" s="3" t="s">
        <v>331</v>
      </c>
      <c r="N160" s="3"/>
      <c r="O160" s="7">
        <f t="shared" si="2"/>
        <v>0.22209237566227311</v>
      </c>
    </row>
    <row r="161" spans="1:15" ht="29" x14ac:dyDescent="0.35">
      <c r="A161" s="4" t="s">
        <v>332</v>
      </c>
      <c r="B161" s="3" t="s">
        <v>9</v>
      </c>
      <c r="C161" s="3">
        <v>4.6959899999999997E-3</v>
      </c>
      <c r="D161" s="3" t="s">
        <v>11</v>
      </c>
      <c r="E161" s="2">
        <v>1</v>
      </c>
      <c r="F161" s="3" t="s">
        <v>333</v>
      </c>
      <c r="H161" s="4" t="s">
        <v>332</v>
      </c>
      <c r="I161" s="3" t="s">
        <v>9</v>
      </c>
      <c r="J161" s="3">
        <v>4.2645299999999999E-3</v>
      </c>
      <c r="K161" s="3" t="s">
        <v>11</v>
      </c>
      <c r="L161" s="2">
        <v>1</v>
      </c>
      <c r="M161" s="3" t="s">
        <v>333</v>
      </c>
      <c r="N161" s="3"/>
      <c r="O161" s="7">
        <f t="shared" si="2"/>
        <v>9.1878389860285015E-2</v>
      </c>
    </row>
    <row r="162" spans="1:15" ht="58" x14ac:dyDescent="0.35">
      <c r="A162" s="4" t="s">
        <v>334</v>
      </c>
      <c r="B162" s="3" t="s">
        <v>9</v>
      </c>
      <c r="C162" s="3">
        <v>1.8429599999999999</v>
      </c>
      <c r="D162" s="3" t="s">
        <v>11</v>
      </c>
      <c r="E162" s="2">
        <v>1</v>
      </c>
      <c r="F162" s="3" t="s">
        <v>335</v>
      </c>
      <c r="H162" s="4" t="s">
        <v>334</v>
      </c>
      <c r="I162" s="3" t="s">
        <v>9</v>
      </c>
      <c r="J162" s="3">
        <v>3.3586900000000002</v>
      </c>
      <c r="K162" s="3" t="s">
        <v>11</v>
      </c>
      <c r="L162" s="2">
        <v>1</v>
      </c>
      <c r="M162" s="3" t="s">
        <v>335</v>
      </c>
      <c r="N162" s="3"/>
      <c r="O162" s="7">
        <f t="shared" si="2"/>
        <v>0.82244324347788356</v>
      </c>
    </row>
    <row r="163" spans="1:15" ht="43.5" x14ac:dyDescent="0.35">
      <c r="A163" s="4" t="s">
        <v>336</v>
      </c>
      <c r="B163" s="3" t="s">
        <v>180</v>
      </c>
      <c r="C163" s="3">
        <v>0.476275</v>
      </c>
      <c r="D163" s="3" t="s">
        <v>11</v>
      </c>
      <c r="E163" s="2">
        <v>1</v>
      </c>
      <c r="F163" s="3" t="s">
        <v>337</v>
      </c>
      <c r="H163" s="4" t="s">
        <v>336</v>
      </c>
      <c r="I163" s="3" t="s">
        <v>180</v>
      </c>
      <c r="J163" s="3">
        <v>0.74411300000000002</v>
      </c>
      <c r="K163" s="3" t="s">
        <v>11</v>
      </c>
      <c r="L163" s="2">
        <v>1</v>
      </c>
      <c r="M163" s="3" t="s">
        <v>337</v>
      </c>
      <c r="N163" s="3"/>
      <c r="O163" s="7">
        <f t="shared" si="2"/>
        <v>0.56235998110335417</v>
      </c>
    </row>
    <row r="164" spans="1:15" ht="43.5" x14ac:dyDescent="0.35">
      <c r="A164" s="4" t="s">
        <v>338</v>
      </c>
      <c r="B164" s="3" t="s">
        <v>230</v>
      </c>
      <c r="C164" s="3">
        <v>9.04078E-4</v>
      </c>
      <c r="D164" s="3" t="s">
        <v>11</v>
      </c>
      <c r="E164" s="2">
        <v>1</v>
      </c>
      <c r="F164" s="3" t="s">
        <v>339</v>
      </c>
      <c r="H164" s="4" t="s">
        <v>338</v>
      </c>
      <c r="I164" s="3" t="s">
        <v>230</v>
      </c>
      <c r="J164" s="3">
        <v>3.4478600000000001E-3</v>
      </c>
      <c r="K164" s="3" t="s">
        <v>11</v>
      </c>
      <c r="L164" s="2">
        <v>1</v>
      </c>
      <c r="M164" s="3" t="s">
        <v>339</v>
      </c>
      <c r="N164" s="3"/>
      <c r="O164" s="7">
        <f t="shared" si="2"/>
        <v>2.8136753687181857</v>
      </c>
    </row>
    <row r="165" spans="1:15" ht="43.5" x14ac:dyDescent="0.35">
      <c r="A165" s="4" t="s">
        <v>340</v>
      </c>
      <c r="B165" s="3" t="s">
        <v>230</v>
      </c>
      <c r="C165" s="3">
        <v>5.0237600000000002E-4</v>
      </c>
      <c r="D165" s="3" t="s">
        <v>11</v>
      </c>
      <c r="E165" s="2">
        <v>1</v>
      </c>
      <c r="F165" s="3" t="s">
        <v>341</v>
      </c>
      <c r="H165" s="4" t="s">
        <v>340</v>
      </c>
      <c r="I165" s="3" t="s">
        <v>230</v>
      </c>
      <c r="J165" s="3">
        <v>5.10664E-3</v>
      </c>
      <c r="K165" s="3" t="s">
        <v>11</v>
      </c>
      <c r="L165" s="2">
        <v>1</v>
      </c>
      <c r="M165" s="3" t="s">
        <v>341</v>
      </c>
      <c r="N165" s="3"/>
      <c r="O165" s="7">
        <f t="shared" si="2"/>
        <v>9.164976033886969</v>
      </c>
    </row>
    <row r="166" spans="1:15" ht="43.5" x14ac:dyDescent="0.35">
      <c r="A166" s="4" t="s">
        <v>342</v>
      </c>
      <c r="B166" s="3" t="s">
        <v>177</v>
      </c>
      <c r="C166" s="3">
        <v>0.168071</v>
      </c>
      <c r="D166" s="3" t="s">
        <v>11</v>
      </c>
      <c r="E166" s="2">
        <v>1</v>
      </c>
      <c r="F166" s="3" t="s">
        <v>343</v>
      </c>
      <c r="H166" s="4" t="s">
        <v>342</v>
      </c>
      <c r="I166" s="3" t="s">
        <v>177</v>
      </c>
      <c r="J166" s="3">
        <v>1.0222599999999999</v>
      </c>
      <c r="K166" s="3" t="s">
        <v>11</v>
      </c>
      <c r="L166" s="2">
        <v>1</v>
      </c>
      <c r="M166" s="3" t="s">
        <v>343</v>
      </c>
      <c r="N166" s="3"/>
      <c r="O166" s="7">
        <f t="shared" si="2"/>
        <v>5.0823104521303497</v>
      </c>
    </row>
    <row r="167" spans="1:15" ht="43.5" x14ac:dyDescent="0.35">
      <c r="A167" s="4" t="s">
        <v>344</v>
      </c>
      <c r="B167" s="3" t="s">
        <v>177</v>
      </c>
      <c r="C167" s="3">
        <v>3.3614199999999997E-2</v>
      </c>
      <c r="D167" s="3" t="s">
        <v>11</v>
      </c>
      <c r="E167" s="2">
        <v>1</v>
      </c>
      <c r="F167" s="3" t="s">
        <v>345</v>
      </c>
      <c r="H167" s="4" t="s">
        <v>344</v>
      </c>
      <c r="I167" s="3" t="s">
        <v>177</v>
      </c>
      <c r="J167" s="3">
        <v>0.204453</v>
      </c>
      <c r="K167" s="3" t="s">
        <v>11</v>
      </c>
      <c r="L167" s="2">
        <v>1</v>
      </c>
      <c r="M167" s="3" t="s">
        <v>345</v>
      </c>
      <c r="N167" s="3"/>
      <c r="O167" s="7">
        <f t="shared" si="2"/>
        <v>5.0823402014624781</v>
      </c>
    </row>
    <row r="168" spans="1:15" ht="43.5" x14ac:dyDescent="0.35">
      <c r="A168" s="4" t="s">
        <v>346</v>
      </c>
      <c r="B168" s="3" t="s">
        <v>47</v>
      </c>
      <c r="C168" s="3">
        <v>728.346</v>
      </c>
      <c r="D168" s="3" t="s">
        <v>11</v>
      </c>
      <c r="E168" s="2">
        <v>1</v>
      </c>
      <c r="F168" s="3" t="s">
        <v>347</v>
      </c>
      <c r="H168" s="4" t="s">
        <v>346</v>
      </c>
      <c r="I168" s="3" t="s">
        <v>47</v>
      </c>
      <c r="J168" s="3">
        <v>4532.58</v>
      </c>
      <c r="K168" s="3" t="s">
        <v>11</v>
      </c>
      <c r="L168" s="2">
        <v>1</v>
      </c>
      <c r="M168" s="3" t="s">
        <v>347</v>
      </c>
      <c r="N168" s="3"/>
      <c r="O168" s="7">
        <f t="shared" si="2"/>
        <v>5.2231137398983449</v>
      </c>
    </row>
    <row r="169" spans="1:15" ht="130.5" x14ac:dyDescent="0.35">
      <c r="A169" s="4" t="s">
        <v>348</v>
      </c>
      <c r="B169" s="3" t="s">
        <v>349</v>
      </c>
      <c r="C169" s="3">
        <v>21.6678</v>
      </c>
      <c r="D169" s="3" t="s">
        <v>11</v>
      </c>
      <c r="E169" s="2">
        <v>1</v>
      </c>
      <c r="F169" s="3" t="s">
        <v>350</v>
      </c>
      <c r="H169" s="4" t="s">
        <v>348</v>
      </c>
      <c r="I169" s="3" t="s">
        <v>349</v>
      </c>
      <c r="J169" s="3">
        <v>22.1694</v>
      </c>
      <c r="K169" s="3" t="s">
        <v>11</v>
      </c>
      <c r="L169" s="2">
        <v>1</v>
      </c>
      <c r="M169" s="3" t="s">
        <v>350</v>
      </c>
      <c r="N169" s="3"/>
      <c r="O169" s="7">
        <f t="shared" si="2"/>
        <v>2.3149558330794996E-2</v>
      </c>
    </row>
    <row r="170" spans="1:15" ht="87" x14ac:dyDescent="0.35">
      <c r="A170" s="4" t="s">
        <v>351</v>
      </c>
      <c r="B170" s="3" t="s">
        <v>9</v>
      </c>
      <c r="C170" s="3">
        <v>4.7842400000000003E-4</v>
      </c>
      <c r="D170" s="3" t="s">
        <v>11</v>
      </c>
      <c r="E170" s="2">
        <v>1</v>
      </c>
      <c r="F170" s="3" t="s">
        <v>352</v>
      </c>
      <c r="H170" s="4" t="s">
        <v>351</v>
      </c>
      <c r="I170" s="3" t="s">
        <v>9</v>
      </c>
      <c r="J170" s="3">
        <v>1.1923500000000001E-4</v>
      </c>
      <c r="K170" s="3" t="s">
        <v>11</v>
      </c>
      <c r="L170" s="2">
        <v>1</v>
      </c>
      <c r="M170" s="3" t="s">
        <v>352</v>
      </c>
      <c r="N170" s="3"/>
      <c r="O170" s="7">
        <f t="shared" si="2"/>
        <v>0.75077546276942619</v>
      </c>
    </row>
    <row r="171" spans="1:15" ht="87" x14ac:dyDescent="0.35">
      <c r="A171" s="4" t="s">
        <v>353</v>
      </c>
      <c r="B171" s="3" t="s">
        <v>9</v>
      </c>
      <c r="C171" s="3">
        <v>0.222301</v>
      </c>
      <c r="D171" s="3" t="s">
        <v>11</v>
      </c>
      <c r="E171" s="2">
        <v>1</v>
      </c>
      <c r="F171" s="3" t="s">
        <v>354</v>
      </c>
      <c r="H171" s="4" t="s">
        <v>353</v>
      </c>
      <c r="I171" s="3" t="s">
        <v>9</v>
      </c>
      <c r="J171" s="3">
        <v>0.22451499999999999</v>
      </c>
      <c r="K171" s="3" t="s">
        <v>11</v>
      </c>
      <c r="L171" s="2">
        <v>1</v>
      </c>
      <c r="M171" s="3" t="s">
        <v>354</v>
      </c>
      <c r="N171" s="3"/>
      <c r="O171" s="7">
        <f t="shared" si="2"/>
        <v>9.9594693681089776E-3</v>
      </c>
    </row>
    <row r="172" spans="1:15" ht="72.5" x14ac:dyDescent="0.35">
      <c r="A172" s="4" t="s">
        <v>355</v>
      </c>
      <c r="B172" s="3" t="s">
        <v>9</v>
      </c>
      <c r="C172" s="3">
        <v>0.64280700000000002</v>
      </c>
      <c r="D172" s="3" t="s">
        <v>11</v>
      </c>
      <c r="E172" s="2">
        <v>1</v>
      </c>
      <c r="F172" s="3" t="s">
        <v>356</v>
      </c>
      <c r="H172" s="4" t="s">
        <v>355</v>
      </c>
      <c r="I172" s="3" t="s">
        <v>9</v>
      </c>
      <c r="J172" s="3">
        <v>0.40304600000000002</v>
      </c>
      <c r="K172" s="3" t="s">
        <v>11</v>
      </c>
      <c r="L172" s="2">
        <v>1</v>
      </c>
      <c r="M172" s="3" t="s">
        <v>356</v>
      </c>
      <c r="N172" s="3"/>
      <c r="O172" s="7">
        <f t="shared" si="2"/>
        <v>0.37299064882616401</v>
      </c>
    </row>
    <row r="173" spans="1:15" ht="43.5" x14ac:dyDescent="0.35">
      <c r="A173" s="4" t="s">
        <v>357</v>
      </c>
      <c r="B173" s="3" t="s">
        <v>41</v>
      </c>
      <c r="C173" s="3">
        <v>3.1401699999999999E-4</v>
      </c>
      <c r="D173" s="3">
        <v>20</v>
      </c>
      <c r="E173" s="2">
        <v>1</v>
      </c>
      <c r="F173" s="3" t="s">
        <v>358</v>
      </c>
      <c r="H173" s="4" t="s">
        <v>357</v>
      </c>
      <c r="I173" s="3" t="s">
        <v>41</v>
      </c>
      <c r="J173" s="3">
        <v>3.13932E-4</v>
      </c>
      <c r="K173" s="3">
        <v>20</v>
      </c>
      <c r="L173" s="2">
        <v>1</v>
      </c>
      <c r="M173" s="3" t="s">
        <v>358</v>
      </c>
      <c r="N173" s="3"/>
      <c r="O173" s="7">
        <f t="shared" si="2"/>
        <v>2.7068598196907523E-4</v>
      </c>
    </row>
    <row r="174" spans="1:15" ht="29" x14ac:dyDescent="0.35">
      <c r="A174" s="4" t="s">
        <v>359</v>
      </c>
      <c r="B174" s="3" t="s">
        <v>41</v>
      </c>
      <c r="C174" s="5">
        <v>4.6875600000000002E-5</v>
      </c>
      <c r="D174" s="3">
        <v>20</v>
      </c>
      <c r="E174" s="2">
        <v>1</v>
      </c>
      <c r="F174" s="3" t="s">
        <v>360</v>
      </c>
      <c r="H174" s="4" t="s">
        <v>359</v>
      </c>
      <c r="I174" s="3" t="s">
        <v>41</v>
      </c>
      <c r="J174" s="3">
        <v>3.1624000000000002E-4</v>
      </c>
      <c r="K174" s="3">
        <v>20</v>
      </c>
      <c r="L174" s="2">
        <v>1</v>
      </c>
      <c r="M174" s="3" t="s">
        <v>360</v>
      </c>
      <c r="N174" s="3"/>
      <c r="O174" s="7">
        <f t="shared" si="2"/>
        <v>5.746366979835992</v>
      </c>
    </row>
    <row r="175" spans="1:15" ht="43.5" x14ac:dyDescent="0.35">
      <c r="A175" s="4" t="s">
        <v>361</v>
      </c>
      <c r="B175" s="3" t="s">
        <v>9</v>
      </c>
      <c r="C175" s="3">
        <v>1</v>
      </c>
      <c r="D175" s="3" t="s">
        <v>11</v>
      </c>
      <c r="E175" s="2">
        <v>1</v>
      </c>
      <c r="F175" s="3" t="s">
        <v>362</v>
      </c>
      <c r="H175" s="4" t="s">
        <v>361</v>
      </c>
      <c r="I175" s="3" t="s">
        <v>9</v>
      </c>
      <c r="J175" s="3">
        <v>1</v>
      </c>
      <c r="K175" s="3" t="s">
        <v>11</v>
      </c>
      <c r="L175" s="2">
        <v>1</v>
      </c>
      <c r="M175" s="3" t="s">
        <v>362</v>
      </c>
      <c r="N175" s="3"/>
      <c r="O175" s="7">
        <f t="shared" si="2"/>
        <v>0</v>
      </c>
    </row>
    <row r="176" spans="1:15" ht="58" x14ac:dyDescent="0.35">
      <c r="A176" s="4" t="s">
        <v>363</v>
      </c>
      <c r="B176" s="3" t="s">
        <v>9</v>
      </c>
      <c r="C176" s="3">
        <v>0.99999899999999997</v>
      </c>
      <c r="D176" s="3" t="s">
        <v>11</v>
      </c>
      <c r="E176" s="2">
        <v>1</v>
      </c>
      <c r="F176" s="3" t="s">
        <v>364</v>
      </c>
      <c r="H176" s="4" t="s">
        <v>363</v>
      </c>
      <c r="I176" s="3" t="s">
        <v>9</v>
      </c>
      <c r="J176" s="3">
        <v>0.99999700000000002</v>
      </c>
      <c r="K176" s="3" t="s">
        <v>11</v>
      </c>
      <c r="L176" s="2">
        <v>1</v>
      </c>
      <c r="M176" s="3" t="s">
        <v>364</v>
      </c>
      <c r="N176" s="3"/>
      <c r="O176" s="7">
        <f t="shared" si="2"/>
        <v>2.0000019999484889E-6</v>
      </c>
    </row>
    <row r="177" spans="1:15" ht="58" x14ac:dyDescent="0.35">
      <c r="A177" s="4" t="s">
        <v>365</v>
      </c>
      <c r="B177" s="3" t="s">
        <v>9</v>
      </c>
      <c r="C177" s="3">
        <v>0.99996399999999996</v>
      </c>
      <c r="D177" s="3" t="s">
        <v>11</v>
      </c>
      <c r="E177" s="2">
        <v>1</v>
      </c>
      <c r="F177" s="3" t="s">
        <v>366</v>
      </c>
      <c r="H177" s="4" t="s">
        <v>365</v>
      </c>
      <c r="I177" s="3" t="s">
        <v>9</v>
      </c>
      <c r="J177" s="3">
        <v>0.99997199999999997</v>
      </c>
      <c r="K177" s="3" t="s">
        <v>11</v>
      </c>
      <c r="L177" s="2">
        <v>1</v>
      </c>
      <c r="M177" s="3" t="s">
        <v>366</v>
      </c>
      <c r="N177" s="3"/>
      <c r="O177" s="7">
        <f t="shared" si="2"/>
        <v>8.0002880103763746E-6</v>
      </c>
    </row>
    <row r="178" spans="1:15" x14ac:dyDescent="0.35">
      <c r="A178" s="4" t="s">
        <v>367</v>
      </c>
      <c r="B178" s="3" t="s">
        <v>252</v>
      </c>
      <c r="C178" s="3">
        <v>3019.21</v>
      </c>
      <c r="D178" s="3">
        <v>20</v>
      </c>
      <c r="E178" s="2">
        <v>1</v>
      </c>
      <c r="F178" s="3" t="s">
        <v>368</v>
      </c>
      <c r="H178" s="4" t="s">
        <v>367</v>
      </c>
      <c r="I178" s="3" t="s">
        <v>252</v>
      </c>
      <c r="J178" s="3">
        <v>2800.41</v>
      </c>
      <c r="K178" s="3">
        <v>20</v>
      </c>
      <c r="L178" s="2">
        <v>1</v>
      </c>
      <c r="M178" s="3" t="s">
        <v>368</v>
      </c>
      <c r="N178" s="3"/>
      <c r="O178" s="7">
        <f t="shared" si="2"/>
        <v>7.2469288323766867E-2</v>
      </c>
    </row>
    <row r="179" spans="1:15" ht="43.5" x14ac:dyDescent="0.35">
      <c r="A179" s="4" t="s">
        <v>369</v>
      </c>
      <c r="B179" s="3" t="s">
        <v>252</v>
      </c>
      <c r="C179" s="3">
        <v>625.65800000000002</v>
      </c>
      <c r="D179" s="3">
        <v>20</v>
      </c>
      <c r="E179" s="2">
        <v>1</v>
      </c>
      <c r="F179" s="3" t="s">
        <v>370</v>
      </c>
      <c r="H179" s="4" t="s">
        <v>369</v>
      </c>
      <c r="I179" s="3" t="s">
        <v>252</v>
      </c>
      <c r="J179" s="3">
        <v>521.52499999999998</v>
      </c>
      <c r="K179" s="3">
        <v>20</v>
      </c>
      <c r="L179" s="2">
        <v>1</v>
      </c>
      <c r="M179" s="3" t="s">
        <v>370</v>
      </c>
      <c r="N179" s="3"/>
      <c r="O179" s="7">
        <f t="shared" si="2"/>
        <v>0.16643757452154379</v>
      </c>
    </row>
    <row r="180" spans="1:15" ht="43.5" x14ac:dyDescent="0.35">
      <c r="A180" s="4" t="s">
        <v>371</v>
      </c>
      <c r="B180" s="3" t="s">
        <v>41</v>
      </c>
      <c r="C180" s="3">
        <v>5.6966099999999997</v>
      </c>
      <c r="D180" s="3">
        <v>20</v>
      </c>
      <c r="E180" s="2">
        <v>1</v>
      </c>
      <c r="F180" s="3" t="s">
        <v>372</v>
      </c>
      <c r="H180" s="4" t="s">
        <v>371</v>
      </c>
      <c r="I180" s="3" t="s">
        <v>41</v>
      </c>
      <c r="J180" s="3">
        <v>120.628</v>
      </c>
      <c r="K180" s="3">
        <v>20</v>
      </c>
      <c r="L180" s="2">
        <v>1</v>
      </c>
      <c r="M180" s="3" t="s">
        <v>372</v>
      </c>
      <c r="N180" s="3"/>
      <c r="O180" s="7">
        <f t="shared" si="2"/>
        <v>20.17540080855105</v>
      </c>
    </row>
    <row r="181" spans="1:15" ht="43.5" x14ac:dyDescent="0.35">
      <c r="A181" s="4" t="s">
        <v>373</v>
      </c>
      <c r="B181" s="3" t="s">
        <v>374</v>
      </c>
      <c r="C181" s="3">
        <v>15841.3</v>
      </c>
      <c r="D181" s="3" t="s">
        <v>11</v>
      </c>
      <c r="E181" s="2">
        <v>1</v>
      </c>
      <c r="F181" s="3" t="s">
        <v>375</v>
      </c>
      <c r="H181" s="4" t="s">
        <v>373</v>
      </c>
      <c r="I181" s="3" t="s">
        <v>374</v>
      </c>
      <c r="J181" s="3">
        <v>312022</v>
      </c>
      <c r="K181" s="3" t="s">
        <v>11</v>
      </c>
      <c r="L181" s="2">
        <v>1</v>
      </c>
      <c r="M181" s="3" t="s">
        <v>375</v>
      </c>
      <c r="N181" s="3"/>
      <c r="O181" s="7">
        <f t="shared" si="2"/>
        <v>18.696742060310708</v>
      </c>
    </row>
    <row r="182" spans="1:15" ht="72.5" x14ac:dyDescent="0.35">
      <c r="A182" s="4" t="s">
        <v>376</v>
      </c>
      <c r="B182" s="3" t="s">
        <v>230</v>
      </c>
      <c r="C182" s="5">
        <v>6.5901199999999997E-7</v>
      </c>
      <c r="D182" s="3" t="s">
        <v>11</v>
      </c>
      <c r="E182" s="2" t="s">
        <v>11</v>
      </c>
      <c r="F182" s="3" t="s">
        <v>377</v>
      </c>
      <c r="H182" s="4" t="s">
        <v>376</v>
      </c>
      <c r="I182" s="3" t="s">
        <v>230</v>
      </c>
      <c r="J182" s="5">
        <v>1.49426E-6</v>
      </c>
      <c r="K182" s="3" t="s">
        <v>11</v>
      </c>
      <c r="L182" s="2" t="s">
        <v>11</v>
      </c>
      <c r="M182" s="3" t="s">
        <v>377</v>
      </c>
      <c r="N182" s="3"/>
      <c r="O182" s="7">
        <f t="shared" si="2"/>
        <v>1.2674245689001111</v>
      </c>
    </row>
    <row r="183" spans="1:15" ht="72.5" x14ac:dyDescent="0.35">
      <c r="A183" s="4" t="s">
        <v>378</v>
      </c>
      <c r="B183" s="3" t="s">
        <v>230</v>
      </c>
      <c r="C183" s="5">
        <v>6.3461600000000005E-7</v>
      </c>
      <c r="D183" s="3" t="s">
        <v>11</v>
      </c>
      <c r="E183" s="2" t="s">
        <v>11</v>
      </c>
      <c r="F183" s="3" t="s">
        <v>379</v>
      </c>
      <c r="H183" s="4" t="s">
        <v>378</v>
      </c>
      <c r="I183" s="3" t="s">
        <v>230</v>
      </c>
      <c r="J183" s="5">
        <v>1.42112E-6</v>
      </c>
      <c r="K183" s="3" t="s">
        <v>11</v>
      </c>
      <c r="L183" s="2" t="s">
        <v>11</v>
      </c>
      <c r="M183" s="3" t="s">
        <v>379</v>
      </c>
      <c r="N183" s="3"/>
      <c r="O183" s="7">
        <f t="shared" si="2"/>
        <v>1.2393384345809118</v>
      </c>
    </row>
    <row r="184" spans="1:15" ht="101.5" x14ac:dyDescent="0.35">
      <c r="A184" s="4" t="s">
        <v>380</v>
      </c>
      <c r="B184" s="3" t="s">
        <v>9</v>
      </c>
      <c r="C184" s="3">
        <v>0.14078299999999999</v>
      </c>
      <c r="D184" s="3" t="s">
        <v>11</v>
      </c>
      <c r="E184" s="2" t="s">
        <v>11</v>
      </c>
      <c r="F184" s="3" t="s">
        <v>381</v>
      </c>
      <c r="H184" s="4" t="s">
        <v>380</v>
      </c>
      <c r="I184" s="3" t="s">
        <v>9</v>
      </c>
      <c r="J184" s="3">
        <v>0.160777</v>
      </c>
      <c r="K184" s="3" t="s">
        <v>11</v>
      </c>
      <c r="L184" s="2" t="s">
        <v>11</v>
      </c>
      <c r="M184" s="3" t="s">
        <v>381</v>
      </c>
      <c r="N184" s="3"/>
      <c r="O184" s="7">
        <f t="shared" si="2"/>
        <v>0.14201998820880371</v>
      </c>
    </row>
    <row r="185" spans="1:15" ht="101.5" x14ac:dyDescent="0.35">
      <c r="A185" s="4" t="s">
        <v>382</v>
      </c>
      <c r="B185" s="3" t="s">
        <v>9</v>
      </c>
      <c r="C185" s="3">
        <v>1.07966E-2</v>
      </c>
      <c r="D185" s="3" t="s">
        <v>11</v>
      </c>
      <c r="E185" s="2" t="s">
        <v>11</v>
      </c>
      <c r="F185" s="3" t="s">
        <v>383</v>
      </c>
      <c r="H185" s="4" t="s">
        <v>382</v>
      </c>
      <c r="I185" s="3" t="s">
        <v>9</v>
      </c>
      <c r="J185" s="3">
        <v>1.0097800000000001E-2</v>
      </c>
      <c r="K185" s="3" t="s">
        <v>11</v>
      </c>
      <c r="L185" s="2" t="s">
        <v>11</v>
      </c>
      <c r="M185" s="3" t="s">
        <v>383</v>
      </c>
      <c r="N185" s="3"/>
      <c r="O185" s="7">
        <f t="shared" si="2"/>
        <v>6.4724079802900861E-2</v>
      </c>
    </row>
    <row r="186" spans="1:15" ht="130.5" x14ac:dyDescent="0.35">
      <c r="A186" s="4" t="s">
        <v>384</v>
      </c>
      <c r="B186" s="3" t="s">
        <v>9</v>
      </c>
      <c r="C186" s="3">
        <v>0.38042399999999998</v>
      </c>
      <c r="D186" s="3" t="s">
        <v>11</v>
      </c>
      <c r="E186" s="2" t="s">
        <v>11</v>
      </c>
      <c r="F186" s="3" t="s">
        <v>385</v>
      </c>
      <c r="H186" s="4" t="s">
        <v>384</v>
      </c>
      <c r="I186" s="3" t="s">
        <v>9</v>
      </c>
      <c r="J186" s="3">
        <v>0.40137499999999998</v>
      </c>
      <c r="K186" s="3" t="s">
        <v>11</v>
      </c>
      <c r="L186" s="2" t="s">
        <v>11</v>
      </c>
      <c r="M186" s="3" t="s">
        <v>385</v>
      </c>
      <c r="N186" s="3"/>
      <c r="O186" s="7">
        <f t="shared" si="2"/>
        <v>5.5072760919395197E-2</v>
      </c>
    </row>
    <row r="187" spans="1:15" ht="101.5" x14ac:dyDescent="0.35">
      <c r="A187" s="4" t="s">
        <v>386</v>
      </c>
      <c r="B187" s="3" t="s">
        <v>9</v>
      </c>
      <c r="C187" s="3">
        <v>1.7161299999999999</v>
      </c>
      <c r="D187" s="3" t="s">
        <v>11</v>
      </c>
      <c r="E187" s="2" t="s">
        <v>11</v>
      </c>
      <c r="F187" s="3" t="s">
        <v>387</v>
      </c>
      <c r="H187" s="4" t="s">
        <v>386</v>
      </c>
      <c r="I187" s="3" t="s">
        <v>9</v>
      </c>
      <c r="J187" s="3">
        <v>3.0668600000000001</v>
      </c>
      <c r="K187" s="3" t="s">
        <v>11</v>
      </c>
      <c r="L187" s="2" t="s">
        <v>11</v>
      </c>
      <c r="M187" s="3" t="s">
        <v>387</v>
      </c>
      <c r="N187" s="3"/>
      <c r="O187" s="7">
        <f t="shared" si="2"/>
        <v>0.78707906743661626</v>
      </c>
    </row>
    <row r="188" spans="1:15" ht="43.5" x14ac:dyDescent="0.35">
      <c r="A188" s="4" t="s">
        <v>388</v>
      </c>
      <c r="B188" s="3" t="s">
        <v>389</v>
      </c>
      <c r="C188" s="3">
        <v>8.5846699999999998E-2</v>
      </c>
      <c r="D188" s="3">
        <v>20</v>
      </c>
      <c r="E188" s="2">
        <v>1</v>
      </c>
      <c r="F188" s="3" t="s">
        <v>390</v>
      </c>
      <c r="H188" s="4" t="s">
        <v>388</v>
      </c>
      <c r="I188" s="3" t="s">
        <v>389</v>
      </c>
      <c r="J188" s="3">
        <v>0.21135699999999999</v>
      </c>
      <c r="K188" s="3">
        <v>20</v>
      </c>
      <c r="L188" s="2">
        <v>1</v>
      </c>
      <c r="M188" s="3" t="s">
        <v>390</v>
      </c>
      <c r="N188" s="3"/>
      <c r="O188" s="7">
        <f t="shared" si="2"/>
        <v>1.4620282433687024</v>
      </c>
    </row>
    <row r="189" spans="1:15" ht="43.5" x14ac:dyDescent="0.35">
      <c r="A189" s="4" t="s">
        <v>391</v>
      </c>
      <c r="B189" s="3" t="s">
        <v>392</v>
      </c>
      <c r="C189" s="5">
        <v>1.63518E-7</v>
      </c>
      <c r="D189" s="3">
        <v>20</v>
      </c>
      <c r="E189" s="2">
        <v>1</v>
      </c>
      <c r="F189" s="3" t="s">
        <v>390</v>
      </c>
      <c r="H189" s="4" t="s">
        <v>391</v>
      </c>
      <c r="I189" s="3" t="s">
        <v>392</v>
      </c>
      <c r="J189" s="5">
        <v>4.02584E-7</v>
      </c>
      <c r="K189" s="3">
        <v>20</v>
      </c>
      <c r="L189" s="2">
        <v>1</v>
      </c>
      <c r="M189" s="3" t="s">
        <v>390</v>
      </c>
      <c r="N189" s="3"/>
      <c r="O189" s="7">
        <f t="shared" si="2"/>
        <v>1.4620164140950842</v>
      </c>
    </row>
    <row r="190" spans="1:15" ht="58" x14ac:dyDescent="0.35">
      <c r="A190" s="4" t="s">
        <v>393</v>
      </c>
      <c r="B190" s="3" t="s">
        <v>394</v>
      </c>
      <c r="C190" s="3">
        <v>9.0192699999999994E-3</v>
      </c>
      <c r="D190" s="3">
        <v>20</v>
      </c>
      <c r="E190" s="2">
        <v>1</v>
      </c>
      <c r="F190" s="3" t="s">
        <v>395</v>
      </c>
      <c r="H190" s="4" t="s">
        <v>393</v>
      </c>
      <c r="I190" s="3" t="s">
        <v>394</v>
      </c>
      <c r="J190" s="3">
        <v>8.7188999999999999E-3</v>
      </c>
      <c r="K190" s="3">
        <v>20</v>
      </c>
      <c r="L190" s="2">
        <v>1</v>
      </c>
      <c r="M190" s="3" t="s">
        <v>395</v>
      </c>
      <c r="N190" s="3"/>
      <c r="O190" s="7">
        <f t="shared" si="2"/>
        <v>3.3303138724087369E-2</v>
      </c>
    </row>
    <row r="191" spans="1:15" ht="43.5" x14ac:dyDescent="0.35">
      <c r="A191" s="4" t="s">
        <v>396</v>
      </c>
      <c r="B191" s="3" t="s">
        <v>389</v>
      </c>
      <c r="C191" s="3">
        <v>5.1500199999999996</v>
      </c>
      <c r="D191" s="3">
        <v>20</v>
      </c>
      <c r="E191" s="2">
        <v>1</v>
      </c>
      <c r="F191" s="3" t="s">
        <v>397</v>
      </c>
      <c r="H191" s="4" t="s">
        <v>396</v>
      </c>
      <c r="I191" s="3" t="s">
        <v>389</v>
      </c>
      <c r="J191" s="3">
        <v>32.228700000000003</v>
      </c>
      <c r="K191" s="3">
        <v>20</v>
      </c>
      <c r="L191" s="2">
        <v>1</v>
      </c>
      <c r="M191" s="3" t="s">
        <v>397</v>
      </c>
      <c r="N191" s="3"/>
      <c r="O191" s="7">
        <f t="shared" si="2"/>
        <v>5.2579756971817604</v>
      </c>
    </row>
    <row r="192" spans="1:15" ht="43.5" x14ac:dyDescent="0.35">
      <c r="A192" s="4" t="s">
        <v>398</v>
      </c>
      <c r="B192" s="3" t="s">
        <v>392</v>
      </c>
      <c r="C192" s="5">
        <v>9.8095699999999997E-6</v>
      </c>
      <c r="D192" s="3">
        <v>20</v>
      </c>
      <c r="E192" s="2">
        <v>1</v>
      </c>
      <c r="F192" s="3" t="s">
        <v>397</v>
      </c>
      <c r="H192" s="4" t="s">
        <v>398</v>
      </c>
      <c r="I192" s="3" t="s">
        <v>392</v>
      </c>
      <c r="J192" s="5">
        <v>6.1388000000000002E-5</v>
      </c>
      <c r="K192" s="3">
        <v>20</v>
      </c>
      <c r="L192" s="2">
        <v>1</v>
      </c>
      <c r="M192" s="3" t="s">
        <v>397</v>
      </c>
      <c r="N192" s="3"/>
      <c r="O192" s="7">
        <f t="shared" si="2"/>
        <v>5.2579705328572004</v>
      </c>
    </row>
    <row r="193" spans="1:15" ht="58" x14ac:dyDescent="0.35">
      <c r="A193" s="4" t="s">
        <v>399</v>
      </c>
      <c r="B193" s="3" t="s">
        <v>394</v>
      </c>
      <c r="C193" s="3">
        <v>0.54107400000000005</v>
      </c>
      <c r="D193" s="3">
        <v>20</v>
      </c>
      <c r="E193" s="2">
        <v>1</v>
      </c>
      <c r="F193" s="3" t="s">
        <v>400</v>
      </c>
      <c r="H193" s="4" t="s">
        <v>399</v>
      </c>
      <c r="I193" s="3" t="s">
        <v>394</v>
      </c>
      <c r="J193" s="3">
        <v>1.3294999999999999</v>
      </c>
      <c r="K193" s="3">
        <v>20</v>
      </c>
      <c r="L193" s="2">
        <v>1</v>
      </c>
      <c r="M193" s="3" t="s">
        <v>400</v>
      </c>
      <c r="N193" s="3"/>
      <c r="O193" s="7">
        <f t="shared" si="2"/>
        <v>1.4571500386268788</v>
      </c>
    </row>
    <row r="194" spans="1:15" ht="43.5" x14ac:dyDescent="0.35">
      <c r="A194" s="4" t="s">
        <v>401</v>
      </c>
      <c r="B194" s="3" t="s">
        <v>389</v>
      </c>
      <c r="C194" s="3">
        <v>14.034000000000001</v>
      </c>
      <c r="D194" s="3">
        <v>20</v>
      </c>
      <c r="E194" s="2">
        <v>1</v>
      </c>
      <c r="F194" s="3" t="s">
        <v>402</v>
      </c>
      <c r="H194" s="4" t="s">
        <v>401</v>
      </c>
      <c r="I194" s="3" t="s">
        <v>389</v>
      </c>
      <c r="J194" s="3">
        <v>87.246099999999998</v>
      </c>
      <c r="K194" s="3">
        <v>20</v>
      </c>
      <c r="L194" s="2">
        <v>1</v>
      </c>
      <c r="M194" s="3" t="s">
        <v>402</v>
      </c>
      <c r="N194" s="3"/>
      <c r="O194" s="7">
        <f t="shared" si="2"/>
        <v>5.21676642439789</v>
      </c>
    </row>
    <row r="195" spans="1:15" ht="43.5" x14ac:dyDescent="0.35">
      <c r="A195" s="4" t="s">
        <v>403</v>
      </c>
      <c r="B195" s="3" t="s">
        <v>392</v>
      </c>
      <c r="C195" s="5">
        <v>2.67314E-5</v>
      </c>
      <c r="D195" s="3">
        <v>20</v>
      </c>
      <c r="E195" s="2">
        <v>1</v>
      </c>
      <c r="F195" s="3" t="s">
        <v>402</v>
      </c>
      <c r="H195" s="4" t="s">
        <v>403</v>
      </c>
      <c r="I195" s="3" t="s">
        <v>392</v>
      </c>
      <c r="J195" s="3">
        <v>1.66183E-4</v>
      </c>
      <c r="K195" s="3">
        <v>20</v>
      </c>
      <c r="L195" s="2">
        <v>1</v>
      </c>
      <c r="M195" s="3" t="s">
        <v>402</v>
      </c>
      <c r="N195" s="3"/>
      <c r="O195" s="7">
        <f t="shared" si="2"/>
        <v>5.2167712876991104</v>
      </c>
    </row>
    <row r="196" spans="1:15" ht="58" x14ac:dyDescent="0.35">
      <c r="A196" s="4" t="s">
        <v>404</v>
      </c>
      <c r="B196" s="3" t="s">
        <v>394</v>
      </c>
      <c r="C196" s="3">
        <v>1.47445</v>
      </c>
      <c r="D196" s="3">
        <v>20</v>
      </c>
      <c r="E196" s="2">
        <v>1</v>
      </c>
      <c r="F196" s="3" t="s">
        <v>405</v>
      </c>
      <c r="H196" s="4" t="s">
        <v>404</v>
      </c>
      <c r="I196" s="3" t="s">
        <v>394</v>
      </c>
      <c r="J196" s="3">
        <v>3.5990799999999998</v>
      </c>
      <c r="K196" s="3">
        <v>20</v>
      </c>
      <c r="L196" s="2">
        <v>1</v>
      </c>
      <c r="M196" s="3" t="s">
        <v>405</v>
      </c>
      <c r="N196" s="3"/>
      <c r="O196" s="7">
        <f t="shared" ref="O196:O245" si="3">ABS(C196-J196)/ABS(C196)</f>
        <v>1.4409644274136117</v>
      </c>
    </row>
    <row r="197" spans="1:15" ht="43.5" x14ac:dyDescent="0.35">
      <c r="A197" s="4" t="s">
        <v>406</v>
      </c>
      <c r="B197" s="3" t="s">
        <v>389</v>
      </c>
      <c r="C197" s="3">
        <v>6.8682900000000005E-2</v>
      </c>
      <c r="D197" s="3">
        <v>20</v>
      </c>
      <c r="E197" s="2">
        <v>1</v>
      </c>
      <c r="F197" s="3" t="s">
        <v>407</v>
      </c>
      <c r="H197" s="4" t="s">
        <v>406</v>
      </c>
      <c r="I197" s="3" t="s">
        <v>389</v>
      </c>
      <c r="J197" s="3">
        <v>0.169099</v>
      </c>
      <c r="K197" s="3">
        <v>20</v>
      </c>
      <c r="L197" s="2">
        <v>1</v>
      </c>
      <c r="M197" s="3" t="s">
        <v>407</v>
      </c>
      <c r="N197" s="3"/>
      <c r="O197" s="7">
        <f t="shared" si="3"/>
        <v>1.4620247543420559</v>
      </c>
    </row>
    <row r="198" spans="1:15" ht="43.5" x14ac:dyDescent="0.35">
      <c r="A198" s="4" t="s">
        <v>408</v>
      </c>
      <c r="B198" s="3" t="s">
        <v>389</v>
      </c>
      <c r="C198" s="3">
        <v>5.1331599999999998E-2</v>
      </c>
      <c r="D198" s="3">
        <v>20</v>
      </c>
      <c r="E198" s="2">
        <v>1</v>
      </c>
      <c r="F198" s="3" t="s">
        <v>409</v>
      </c>
      <c r="H198" s="4" t="s">
        <v>408</v>
      </c>
      <c r="I198" s="3" t="s">
        <v>389</v>
      </c>
      <c r="J198" s="3">
        <v>0.12303</v>
      </c>
      <c r="K198" s="3">
        <v>20</v>
      </c>
      <c r="L198" s="2">
        <v>1</v>
      </c>
      <c r="M198" s="3" t="s">
        <v>409</v>
      </c>
      <c r="N198" s="3"/>
      <c r="O198" s="7">
        <f t="shared" si="3"/>
        <v>1.3967692415588058</v>
      </c>
    </row>
    <row r="199" spans="1:15" ht="58" x14ac:dyDescent="0.35">
      <c r="A199" s="4" t="s">
        <v>410</v>
      </c>
      <c r="B199" s="3" t="s">
        <v>389</v>
      </c>
      <c r="C199" s="3">
        <v>8.4719099999999992E-3</v>
      </c>
      <c r="D199" s="3">
        <v>20</v>
      </c>
      <c r="E199" s="2">
        <v>1</v>
      </c>
      <c r="F199" s="3" t="s">
        <v>411</v>
      </c>
      <c r="H199" s="4" t="s">
        <v>410</v>
      </c>
      <c r="I199" s="3" t="s">
        <v>389</v>
      </c>
      <c r="J199" s="3">
        <v>1.0375499999999999E-2</v>
      </c>
      <c r="K199" s="3">
        <v>20</v>
      </c>
      <c r="L199" s="2">
        <v>1</v>
      </c>
      <c r="M199" s="3" t="s">
        <v>411</v>
      </c>
      <c r="N199" s="3"/>
      <c r="O199" s="7">
        <f t="shared" si="3"/>
        <v>0.22469431332485831</v>
      </c>
    </row>
    <row r="200" spans="1:15" ht="58" x14ac:dyDescent="0.35">
      <c r="A200" s="4" t="s">
        <v>412</v>
      </c>
      <c r="B200" s="3" t="s">
        <v>389</v>
      </c>
      <c r="C200" s="5">
        <v>9.8553899999999998E-5</v>
      </c>
      <c r="D200" s="3">
        <v>20</v>
      </c>
      <c r="E200" s="2">
        <v>1</v>
      </c>
      <c r="F200" s="3" t="s">
        <v>413</v>
      </c>
      <c r="H200" s="4" t="s">
        <v>412</v>
      </c>
      <c r="I200" s="3" t="s">
        <v>389</v>
      </c>
      <c r="J200" s="3">
        <v>9.6193899999999998E-4</v>
      </c>
      <c r="K200" s="3">
        <v>20</v>
      </c>
      <c r="L200" s="2">
        <v>1</v>
      </c>
      <c r="M200" s="3" t="s">
        <v>413</v>
      </c>
      <c r="N200" s="3"/>
      <c r="O200" s="7">
        <f t="shared" si="3"/>
        <v>8.7605371273993207</v>
      </c>
    </row>
    <row r="201" spans="1:15" ht="29" x14ac:dyDescent="0.35">
      <c r="A201" s="4" t="s">
        <v>414</v>
      </c>
      <c r="B201" s="3" t="s">
        <v>389</v>
      </c>
      <c r="C201" s="3">
        <v>3.5454899999999998E-2</v>
      </c>
      <c r="D201" s="3">
        <v>20</v>
      </c>
      <c r="E201" s="2">
        <v>1</v>
      </c>
      <c r="F201" s="3" t="s">
        <v>415</v>
      </c>
      <c r="H201" s="4" t="s">
        <v>414</v>
      </c>
      <c r="I201" s="3" t="s">
        <v>389</v>
      </c>
      <c r="J201" s="3">
        <v>3.5288600000000003E-2</v>
      </c>
      <c r="K201" s="3">
        <v>20</v>
      </c>
      <c r="L201" s="2">
        <v>1</v>
      </c>
      <c r="M201" s="3" t="s">
        <v>415</v>
      </c>
      <c r="N201" s="3"/>
      <c r="O201" s="7">
        <f t="shared" si="3"/>
        <v>4.6904659158534994E-3</v>
      </c>
    </row>
    <row r="202" spans="1:15" ht="29" x14ac:dyDescent="0.35">
      <c r="A202" s="4" t="s">
        <v>416</v>
      </c>
      <c r="B202" s="3" t="s">
        <v>389</v>
      </c>
      <c r="C202" s="3">
        <v>7.3062400000000003E-3</v>
      </c>
      <c r="D202" s="3">
        <v>20</v>
      </c>
      <c r="E202" s="2">
        <v>1</v>
      </c>
      <c r="F202" s="3" t="s">
        <v>417</v>
      </c>
      <c r="H202" s="4" t="s">
        <v>416</v>
      </c>
      <c r="I202" s="3" t="s">
        <v>389</v>
      </c>
      <c r="J202" s="3">
        <v>7.6404299999999994E-2</v>
      </c>
      <c r="K202" s="3">
        <v>20</v>
      </c>
      <c r="L202" s="2">
        <v>1</v>
      </c>
      <c r="M202" s="3" t="s">
        <v>417</v>
      </c>
      <c r="N202" s="3"/>
      <c r="O202" s="7">
        <f t="shared" si="3"/>
        <v>9.457403534512963</v>
      </c>
    </row>
    <row r="203" spans="1:15" ht="29" x14ac:dyDescent="0.35">
      <c r="A203" s="4" t="s">
        <v>418</v>
      </c>
      <c r="B203" s="3" t="s">
        <v>389</v>
      </c>
      <c r="C203" s="3">
        <v>1.5876700000000001E-2</v>
      </c>
      <c r="D203" s="3">
        <v>20</v>
      </c>
      <c r="E203" s="2">
        <v>1</v>
      </c>
      <c r="F203" s="3" t="s">
        <v>419</v>
      </c>
      <c r="H203" s="4" t="s">
        <v>418</v>
      </c>
      <c r="I203" s="3" t="s">
        <v>389</v>
      </c>
      <c r="J203" s="3">
        <v>8.7741700000000006E-2</v>
      </c>
      <c r="K203" s="3">
        <v>20</v>
      </c>
      <c r="L203" s="2">
        <v>1</v>
      </c>
      <c r="M203" s="3" t="s">
        <v>419</v>
      </c>
      <c r="N203" s="3"/>
      <c r="O203" s="7">
        <f t="shared" si="3"/>
        <v>4.5264444122519167</v>
      </c>
    </row>
    <row r="204" spans="1:15" ht="43.5" x14ac:dyDescent="0.35">
      <c r="A204" s="4" t="s">
        <v>420</v>
      </c>
      <c r="B204" s="3" t="s">
        <v>389</v>
      </c>
      <c r="C204" s="3">
        <v>7.5930400000000002</v>
      </c>
      <c r="D204" s="3">
        <v>20</v>
      </c>
      <c r="E204" s="2">
        <v>1</v>
      </c>
      <c r="F204" s="3" t="s">
        <v>421</v>
      </c>
      <c r="H204" s="4" t="s">
        <v>420</v>
      </c>
      <c r="I204" s="3" t="s">
        <v>389</v>
      </c>
      <c r="J204" s="3">
        <v>86.596900000000005</v>
      </c>
      <c r="K204" s="3">
        <v>20</v>
      </c>
      <c r="L204" s="2">
        <v>1</v>
      </c>
      <c r="M204" s="3" t="s">
        <v>421</v>
      </c>
      <c r="N204" s="3"/>
      <c r="O204" s="7">
        <f t="shared" si="3"/>
        <v>10.404773318723462</v>
      </c>
    </row>
    <row r="205" spans="1:15" ht="43.5" x14ac:dyDescent="0.35">
      <c r="A205" s="4" t="s">
        <v>422</v>
      </c>
      <c r="B205" s="3" t="s">
        <v>389</v>
      </c>
      <c r="C205" s="3">
        <v>6.7094800000000001</v>
      </c>
      <c r="D205" s="3">
        <v>20</v>
      </c>
      <c r="E205" s="2">
        <v>1</v>
      </c>
      <c r="F205" s="3" t="s">
        <v>423</v>
      </c>
      <c r="H205" s="4" t="s">
        <v>422</v>
      </c>
      <c r="I205" s="3" t="s">
        <v>389</v>
      </c>
      <c r="J205" s="3">
        <v>75.510999999999996</v>
      </c>
      <c r="K205" s="3">
        <v>20</v>
      </c>
      <c r="L205" s="2">
        <v>1</v>
      </c>
      <c r="M205" s="3" t="s">
        <v>423</v>
      </c>
      <c r="N205" s="3"/>
      <c r="O205" s="7">
        <f t="shared" si="3"/>
        <v>10.254374407554684</v>
      </c>
    </row>
    <row r="206" spans="1:15" ht="58" x14ac:dyDescent="0.35">
      <c r="A206" s="4" t="s">
        <v>424</v>
      </c>
      <c r="B206" s="3" t="s">
        <v>389</v>
      </c>
      <c r="C206" s="3">
        <v>3.9361799999999998</v>
      </c>
      <c r="D206" s="3">
        <v>20</v>
      </c>
      <c r="E206" s="2">
        <v>1</v>
      </c>
      <c r="F206" s="3" t="s">
        <v>425</v>
      </c>
      <c r="H206" s="4" t="s">
        <v>424</v>
      </c>
      <c r="I206" s="3" t="s">
        <v>389</v>
      </c>
      <c r="J206" s="3">
        <v>19.535</v>
      </c>
      <c r="K206" s="3">
        <v>20</v>
      </c>
      <c r="L206" s="2">
        <v>1</v>
      </c>
      <c r="M206" s="3" t="s">
        <v>425</v>
      </c>
      <c r="N206" s="3"/>
      <c r="O206" s="7">
        <f t="shared" si="3"/>
        <v>3.9629336056786024</v>
      </c>
    </row>
    <row r="207" spans="1:15" ht="58" x14ac:dyDescent="0.35">
      <c r="A207" s="4" t="s">
        <v>426</v>
      </c>
      <c r="B207" s="3" t="s">
        <v>389</v>
      </c>
      <c r="C207" s="3">
        <v>4.9408899999999999E-2</v>
      </c>
      <c r="D207" s="3">
        <v>20</v>
      </c>
      <c r="E207" s="2">
        <v>1</v>
      </c>
      <c r="F207" s="3" t="s">
        <v>427</v>
      </c>
      <c r="H207" s="4" t="s">
        <v>426</v>
      </c>
      <c r="I207" s="3" t="s">
        <v>389</v>
      </c>
      <c r="J207" s="3">
        <v>1.1136299999999999</v>
      </c>
      <c r="K207" s="3">
        <v>20</v>
      </c>
      <c r="L207" s="2">
        <v>1</v>
      </c>
      <c r="M207" s="3" t="s">
        <v>427</v>
      </c>
      <c r="N207" s="3"/>
      <c r="O207" s="7">
        <f t="shared" si="3"/>
        <v>21.539056728646052</v>
      </c>
    </row>
    <row r="208" spans="1:15" ht="29" x14ac:dyDescent="0.35">
      <c r="A208" s="4" t="s">
        <v>428</v>
      </c>
      <c r="B208" s="3" t="s">
        <v>389</v>
      </c>
      <c r="C208" s="3">
        <v>1.8054399999999999</v>
      </c>
      <c r="D208" s="3">
        <v>20</v>
      </c>
      <c r="E208" s="2">
        <v>1</v>
      </c>
      <c r="F208" s="3" t="s">
        <v>429</v>
      </c>
      <c r="H208" s="4" t="s">
        <v>428</v>
      </c>
      <c r="I208" s="3" t="s">
        <v>389</v>
      </c>
      <c r="J208" s="3">
        <v>8.4917599999999993</v>
      </c>
      <c r="K208" s="3">
        <v>20</v>
      </c>
      <c r="L208" s="2">
        <v>1</v>
      </c>
      <c r="M208" s="3" t="s">
        <v>429</v>
      </c>
      <c r="N208" s="3"/>
      <c r="O208" s="7">
        <f t="shared" si="3"/>
        <v>3.7034296348812474</v>
      </c>
    </row>
    <row r="209" spans="1:15" ht="43.5" x14ac:dyDescent="0.35">
      <c r="A209" s="4" t="s">
        <v>430</v>
      </c>
      <c r="B209" s="3" t="s">
        <v>389</v>
      </c>
      <c r="C209" s="3">
        <v>0.91846000000000005</v>
      </c>
      <c r="D209" s="3">
        <v>20</v>
      </c>
      <c r="E209" s="2">
        <v>1</v>
      </c>
      <c r="F209" s="3" t="s">
        <v>431</v>
      </c>
      <c r="H209" s="4" t="s">
        <v>430</v>
      </c>
      <c r="I209" s="3" t="s">
        <v>389</v>
      </c>
      <c r="J209" s="3">
        <v>46.370600000000003</v>
      </c>
      <c r="K209" s="3">
        <v>20</v>
      </c>
      <c r="L209" s="2">
        <v>1</v>
      </c>
      <c r="M209" s="3" t="s">
        <v>431</v>
      </c>
      <c r="N209" s="3"/>
      <c r="O209" s="7">
        <f t="shared" si="3"/>
        <v>49.487337499727801</v>
      </c>
    </row>
    <row r="210" spans="1:15" ht="43.5" x14ac:dyDescent="0.35">
      <c r="A210" s="4" t="s">
        <v>432</v>
      </c>
      <c r="B210" s="3" t="s">
        <v>389</v>
      </c>
      <c r="C210" s="3">
        <v>4.9040499999999998</v>
      </c>
      <c r="D210" s="3">
        <v>20</v>
      </c>
      <c r="E210" s="2">
        <v>1</v>
      </c>
      <c r="F210" s="3" t="s">
        <v>433</v>
      </c>
      <c r="H210" s="4" t="s">
        <v>432</v>
      </c>
      <c r="I210" s="3" t="s">
        <v>389</v>
      </c>
      <c r="J210" s="3">
        <v>67.019199999999998</v>
      </c>
      <c r="K210" s="3">
        <v>20</v>
      </c>
      <c r="L210" s="2">
        <v>1</v>
      </c>
      <c r="M210" s="3" t="s">
        <v>433</v>
      </c>
      <c r="N210" s="3"/>
      <c r="O210" s="7">
        <f t="shared" si="3"/>
        <v>12.666092311456858</v>
      </c>
    </row>
    <row r="211" spans="1:15" ht="43.5" x14ac:dyDescent="0.35">
      <c r="A211" s="4" t="s">
        <v>434</v>
      </c>
      <c r="B211" s="3" t="s">
        <v>389</v>
      </c>
      <c r="C211" s="3">
        <v>20.691299999999998</v>
      </c>
      <c r="D211" s="3">
        <v>20</v>
      </c>
      <c r="E211" s="2">
        <v>1</v>
      </c>
      <c r="F211" s="3" t="s">
        <v>435</v>
      </c>
      <c r="H211" s="4" t="s">
        <v>434</v>
      </c>
      <c r="I211" s="3" t="s">
        <v>389</v>
      </c>
      <c r="J211" s="3">
        <v>234.42599999999999</v>
      </c>
      <c r="K211" s="3">
        <v>20</v>
      </c>
      <c r="L211" s="2">
        <v>1</v>
      </c>
      <c r="M211" s="3" t="s">
        <v>435</v>
      </c>
      <c r="N211" s="3"/>
      <c r="O211" s="7">
        <f t="shared" si="3"/>
        <v>10.329689289701468</v>
      </c>
    </row>
    <row r="212" spans="1:15" ht="43.5" x14ac:dyDescent="0.35">
      <c r="A212" s="4" t="s">
        <v>436</v>
      </c>
      <c r="B212" s="3" t="s">
        <v>389</v>
      </c>
      <c r="C212" s="3">
        <v>20.691299999999998</v>
      </c>
      <c r="D212" s="3">
        <v>20</v>
      </c>
      <c r="E212" s="2">
        <v>1</v>
      </c>
      <c r="F212" s="3" t="s">
        <v>437</v>
      </c>
      <c r="H212" s="4" t="s">
        <v>436</v>
      </c>
      <c r="I212" s="3" t="s">
        <v>389</v>
      </c>
      <c r="J212" s="3">
        <v>234.42599999999999</v>
      </c>
      <c r="K212" s="3">
        <v>20</v>
      </c>
      <c r="L212" s="2">
        <v>1</v>
      </c>
      <c r="M212" s="3" t="s">
        <v>437</v>
      </c>
      <c r="N212" s="3"/>
      <c r="O212" s="7">
        <f t="shared" si="3"/>
        <v>10.329689289701468</v>
      </c>
    </row>
    <row r="213" spans="1:15" ht="58" x14ac:dyDescent="0.35">
      <c r="A213" s="4" t="s">
        <v>438</v>
      </c>
      <c r="B213" s="3" t="s">
        <v>389</v>
      </c>
      <c r="C213" s="3">
        <v>17.706499999999998</v>
      </c>
      <c r="D213" s="3">
        <v>20</v>
      </c>
      <c r="E213" s="2">
        <v>1</v>
      </c>
      <c r="F213" s="3" t="s">
        <v>439</v>
      </c>
      <c r="H213" s="4" t="s">
        <v>438</v>
      </c>
      <c r="I213" s="3" t="s">
        <v>389</v>
      </c>
      <c r="J213" s="3">
        <v>87.009900000000002</v>
      </c>
      <c r="K213" s="3">
        <v>20</v>
      </c>
      <c r="L213" s="2">
        <v>1</v>
      </c>
      <c r="M213" s="3" t="s">
        <v>439</v>
      </c>
      <c r="N213" s="3"/>
      <c r="O213" s="7">
        <f t="shared" si="3"/>
        <v>3.9140089797531989</v>
      </c>
    </row>
    <row r="214" spans="1:15" ht="58" x14ac:dyDescent="0.35">
      <c r="A214" s="4" t="s">
        <v>440</v>
      </c>
      <c r="B214" s="3" t="s">
        <v>389</v>
      </c>
      <c r="C214" s="3">
        <v>0.132686</v>
      </c>
      <c r="D214" s="3">
        <v>20</v>
      </c>
      <c r="E214" s="2">
        <v>1</v>
      </c>
      <c r="F214" s="3" t="s">
        <v>441</v>
      </c>
      <c r="H214" s="4" t="s">
        <v>440</v>
      </c>
      <c r="I214" s="3" t="s">
        <v>389</v>
      </c>
      <c r="J214" s="3">
        <v>7.2568999999999999</v>
      </c>
      <c r="K214" s="3">
        <v>20</v>
      </c>
      <c r="L214" s="2">
        <v>1</v>
      </c>
      <c r="M214" s="3" t="s">
        <v>441</v>
      </c>
      <c r="N214" s="3"/>
      <c r="O214" s="7">
        <f t="shared" si="3"/>
        <v>53.692281024373337</v>
      </c>
    </row>
    <row r="215" spans="1:15" ht="29" x14ac:dyDescent="0.35">
      <c r="A215" s="4" t="s">
        <v>442</v>
      </c>
      <c r="B215" s="3" t="s">
        <v>389</v>
      </c>
      <c r="C215" s="5">
        <v>2.9358799999999999E-15</v>
      </c>
      <c r="D215" s="3">
        <v>20</v>
      </c>
      <c r="E215" s="2">
        <v>1</v>
      </c>
      <c r="F215" s="3" t="s">
        <v>443</v>
      </c>
      <c r="H215" s="4" t="s">
        <v>442</v>
      </c>
      <c r="I215" s="3" t="s">
        <v>389</v>
      </c>
      <c r="J215" s="3">
        <v>0</v>
      </c>
      <c r="K215" s="3">
        <v>20</v>
      </c>
      <c r="L215" s="2">
        <v>1</v>
      </c>
      <c r="M215" s="3" t="s">
        <v>443</v>
      </c>
      <c r="N215" s="3"/>
      <c r="O215" s="7">
        <f t="shared" si="3"/>
        <v>1</v>
      </c>
    </row>
    <row r="216" spans="1:15" ht="43.5" x14ac:dyDescent="0.35">
      <c r="A216" s="4" t="s">
        <v>444</v>
      </c>
      <c r="B216" s="3" t="s">
        <v>389</v>
      </c>
      <c r="C216" s="3">
        <v>2.8521200000000002</v>
      </c>
      <c r="D216" s="3">
        <v>20</v>
      </c>
      <c r="E216" s="2">
        <v>1</v>
      </c>
      <c r="F216" s="3" t="s">
        <v>445</v>
      </c>
      <c r="H216" s="4" t="s">
        <v>444</v>
      </c>
      <c r="I216" s="3" t="s">
        <v>389</v>
      </c>
      <c r="J216" s="3">
        <v>140.15899999999999</v>
      </c>
      <c r="K216" s="3">
        <v>20</v>
      </c>
      <c r="L216" s="2">
        <v>1</v>
      </c>
      <c r="M216" s="3" t="s">
        <v>445</v>
      </c>
      <c r="N216" s="3"/>
      <c r="O216" s="7">
        <f t="shared" si="3"/>
        <v>48.142041709324985</v>
      </c>
    </row>
    <row r="217" spans="1:15" ht="43.5" x14ac:dyDescent="0.35">
      <c r="A217" s="4" t="s">
        <v>446</v>
      </c>
      <c r="B217" s="3" t="s">
        <v>389</v>
      </c>
      <c r="C217" s="3">
        <v>17.9818</v>
      </c>
      <c r="D217" s="3">
        <v>20</v>
      </c>
      <c r="E217" s="2">
        <v>1</v>
      </c>
      <c r="F217" s="3" t="s">
        <v>447</v>
      </c>
      <c r="H217" s="4" t="s">
        <v>446</v>
      </c>
      <c r="I217" s="3" t="s">
        <v>389</v>
      </c>
      <c r="J217" s="3">
        <v>101.27500000000001</v>
      </c>
      <c r="K217" s="3">
        <v>20</v>
      </c>
      <c r="L217" s="2">
        <v>1</v>
      </c>
      <c r="M217" s="3" t="s">
        <v>447</v>
      </c>
      <c r="N217" s="3"/>
      <c r="O217" s="7">
        <f t="shared" si="3"/>
        <v>4.6320835511461596</v>
      </c>
    </row>
    <row r="218" spans="1:15" ht="29" x14ac:dyDescent="0.35">
      <c r="A218" s="4" t="s">
        <v>448</v>
      </c>
      <c r="B218" s="3" t="s">
        <v>392</v>
      </c>
      <c r="C218" s="5">
        <v>5.7323200000000001E-8</v>
      </c>
      <c r="D218" s="3">
        <v>20</v>
      </c>
      <c r="E218" s="2">
        <v>1</v>
      </c>
      <c r="F218" s="3" t="s">
        <v>449</v>
      </c>
      <c r="H218" s="4" t="s">
        <v>448</v>
      </c>
      <c r="I218" s="3" t="s">
        <v>392</v>
      </c>
      <c r="J218" s="5">
        <v>2.18266E-7</v>
      </c>
      <c r="K218" s="3">
        <v>20</v>
      </c>
      <c r="L218" s="2">
        <v>1</v>
      </c>
      <c r="M218" s="3" t="s">
        <v>449</v>
      </c>
      <c r="N218" s="3"/>
      <c r="O218" s="7">
        <f t="shared" si="3"/>
        <v>2.8076380941747843</v>
      </c>
    </row>
    <row r="219" spans="1:15" ht="43.5" x14ac:dyDescent="0.35">
      <c r="A219" s="4" t="s">
        <v>450</v>
      </c>
      <c r="B219" s="3" t="s">
        <v>392</v>
      </c>
      <c r="C219" s="5">
        <v>1.1603800000000001E-5</v>
      </c>
      <c r="D219" s="3">
        <v>20</v>
      </c>
      <c r="E219" s="2">
        <v>1</v>
      </c>
      <c r="F219" s="3" t="s">
        <v>451</v>
      </c>
      <c r="H219" s="4" t="s">
        <v>450</v>
      </c>
      <c r="I219" s="3" t="s">
        <v>392</v>
      </c>
      <c r="J219" s="3">
        <v>1.4986700000000001E-4</v>
      </c>
      <c r="K219" s="3">
        <v>20</v>
      </c>
      <c r="L219" s="2">
        <v>1</v>
      </c>
      <c r="M219" s="3" t="s">
        <v>451</v>
      </c>
      <c r="N219" s="3"/>
      <c r="O219" s="7">
        <f t="shared" si="3"/>
        <v>11.915338078905187</v>
      </c>
    </row>
    <row r="220" spans="1:15" ht="29" x14ac:dyDescent="0.35">
      <c r="A220" s="4" t="s">
        <v>452</v>
      </c>
      <c r="B220" s="3" t="s">
        <v>392</v>
      </c>
      <c r="C220" s="5">
        <v>3.8950299999999999E-5</v>
      </c>
      <c r="D220" s="3">
        <v>20</v>
      </c>
      <c r="E220" s="2">
        <v>1</v>
      </c>
      <c r="F220" s="3" t="s">
        <v>453</v>
      </c>
      <c r="H220" s="4" t="s">
        <v>452</v>
      </c>
      <c r="I220" s="3" t="s">
        <v>392</v>
      </c>
      <c r="J220" s="3">
        <v>2.5501499999999998E-4</v>
      </c>
      <c r="K220" s="3">
        <v>20</v>
      </c>
      <c r="L220" s="2">
        <v>1</v>
      </c>
      <c r="M220" s="3" t="s">
        <v>453</v>
      </c>
      <c r="N220" s="3"/>
      <c r="O220" s="7">
        <f t="shared" si="3"/>
        <v>5.5471896236999454</v>
      </c>
    </row>
    <row r="221" spans="1:15" ht="29" x14ac:dyDescent="0.35">
      <c r="A221" s="4" t="s">
        <v>454</v>
      </c>
      <c r="B221" s="3" t="s">
        <v>392</v>
      </c>
      <c r="C221" s="5">
        <v>4.12409E-8</v>
      </c>
      <c r="D221" s="3">
        <v>20</v>
      </c>
      <c r="E221" s="2">
        <v>1</v>
      </c>
      <c r="F221" s="3" t="s">
        <v>455</v>
      </c>
      <c r="H221" s="4" t="s">
        <v>454</v>
      </c>
      <c r="I221" s="3" t="s">
        <v>392</v>
      </c>
      <c r="J221" s="5">
        <v>1.5703E-7</v>
      </c>
      <c r="K221" s="3">
        <v>20</v>
      </c>
      <c r="L221" s="2">
        <v>1</v>
      </c>
      <c r="M221" s="3" t="s">
        <v>455</v>
      </c>
      <c r="N221" s="3"/>
      <c r="O221" s="7">
        <f t="shared" si="3"/>
        <v>2.8076278645713355</v>
      </c>
    </row>
    <row r="222" spans="1:15" ht="43.5" x14ac:dyDescent="0.35">
      <c r="A222" s="4" t="s">
        <v>456</v>
      </c>
      <c r="B222" s="3" t="s">
        <v>392</v>
      </c>
      <c r="C222" s="5">
        <v>8.3482999999999993E-6</v>
      </c>
      <c r="D222" s="3">
        <v>20</v>
      </c>
      <c r="E222" s="2">
        <v>1</v>
      </c>
      <c r="F222" s="3" t="s">
        <v>457</v>
      </c>
      <c r="H222" s="4" t="s">
        <v>456</v>
      </c>
      <c r="I222" s="3" t="s">
        <v>392</v>
      </c>
      <c r="J222" s="3">
        <v>1.07821E-4</v>
      </c>
      <c r="K222" s="3">
        <v>20</v>
      </c>
      <c r="L222" s="2">
        <v>1</v>
      </c>
      <c r="M222" s="3" t="s">
        <v>457</v>
      </c>
      <c r="N222" s="3"/>
      <c r="O222" s="7">
        <f t="shared" si="3"/>
        <v>11.915324077955992</v>
      </c>
    </row>
    <row r="223" spans="1:15" ht="29" x14ac:dyDescent="0.35">
      <c r="A223" s="4" t="s">
        <v>458</v>
      </c>
      <c r="B223" s="3" t="s">
        <v>392</v>
      </c>
      <c r="C223" s="5">
        <v>2.8022599999999998E-5</v>
      </c>
      <c r="D223" s="3">
        <v>20</v>
      </c>
      <c r="E223" s="2">
        <v>1</v>
      </c>
      <c r="F223" s="3" t="s">
        <v>459</v>
      </c>
      <c r="H223" s="4" t="s">
        <v>458</v>
      </c>
      <c r="I223" s="3" t="s">
        <v>392</v>
      </c>
      <c r="J223" s="3">
        <v>1.8346899999999999E-4</v>
      </c>
      <c r="K223" s="3">
        <v>20</v>
      </c>
      <c r="L223" s="2">
        <v>1</v>
      </c>
      <c r="M223" s="3" t="s">
        <v>459</v>
      </c>
      <c r="N223" s="3"/>
      <c r="O223" s="7">
        <f t="shared" si="3"/>
        <v>5.5471797763233957</v>
      </c>
    </row>
    <row r="224" spans="1:15" ht="29" x14ac:dyDescent="0.35">
      <c r="A224" s="4" t="s">
        <v>460</v>
      </c>
      <c r="B224" s="3" t="s">
        <v>392</v>
      </c>
      <c r="C224" s="5">
        <v>6.2339E-8</v>
      </c>
      <c r="D224" s="3">
        <v>20</v>
      </c>
      <c r="E224" s="2">
        <v>1</v>
      </c>
      <c r="F224" s="3" t="s">
        <v>461</v>
      </c>
      <c r="H224" s="4" t="s">
        <v>460</v>
      </c>
      <c r="I224" s="3" t="s">
        <v>392</v>
      </c>
      <c r="J224" s="5">
        <v>2.3736400000000001E-7</v>
      </c>
      <c r="K224" s="3">
        <v>20</v>
      </c>
      <c r="L224" s="2">
        <v>1</v>
      </c>
      <c r="M224" s="3" t="s">
        <v>461</v>
      </c>
      <c r="N224" s="3"/>
      <c r="O224" s="7">
        <f t="shared" si="3"/>
        <v>2.8076324612201033</v>
      </c>
    </row>
    <row r="225" spans="1:15" ht="29" x14ac:dyDescent="0.35">
      <c r="A225" s="4" t="s">
        <v>462</v>
      </c>
      <c r="B225" s="3" t="s">
        <v>392</v>
      </c>
      <c r="C225" s="5">
        <v>1.2619199999999999E-5</v>
      </c>
      <c r="D225" s="3">
        <v>20</v>
      </c>
      <c r="E225" s="2">
        <v>1</v>
      </c>
      <c r="F225" s="3" t="s">
        <v>463</v>
      </c>
      <c r="H225" s="4" t="s">
        <v>462</v>
      </c>
      <c r="I225" s="3" t="s">
        <v>392</v>
      </c>
      <c r="J225" s="3">
        <v>1.6297999999999999E-4</v>
      </c>
      <c r="K225" s="3">
        <v>20</v>
      </c>
      <c r="L225" s="2">
        <v>1</v>
      </c>
      <c r="M225" s="3" t="s">
        <v>463</v>
      </c>
      <c r="N225" s="3"/>
      <c r="O225" s="7">
        <f t="shared" si="3"/>
        <v>11.915240268796754</v>
      </c>
    </row>
    <row r="226" spans="1:15" ht="29" x14ac:dyDescent="0.35">
      <c r="A226" s="4" t="s">
        <v>464</v>
      </c>
      <c r="B226" s="3" t="s">
        <v>392</v>
      </c>
      <c r="C226" s="5">
        <v>4.2358499999999998E-5</v>
      </c>
      <c r="D226" s="3">
        <v>20</v>
      </c>
      <c r="E226" s="2">
        <v>1</v>
      </c>
      <c r="F226" s="3" t="s">
        <v>465</v>
      </c>
      <c r="H226" s="4" t="s">
        <v>464</v>
      </c>
      <c r="I226" s="3" t="s">
        <v>392</v>
      </c>
      <c r="J226" s="3">
        <v>2.7732899999999999E-4</v>
      </c>
      <c r="K226" s="3">
        <v>20</v>
      </c>
      <c r="L226" s="2">
        <v>1</v>
      </c>
      <c r="M226" s="3" t="s">
        <v>465</v>
      </c>
      <c r="N226" s="3"/>
      <c r="O226" s="7">
        <f t="shared" si="3"/>
        <v>5.5471865151032258</v>
      </c>
    </row>
    <row r="227" spans="1:15" ht="43.5" x14ac:dyDescent="0.35">
      <c r="A227" s="4" t="s">
        <v>466</v>
      </c>
      <c r="B227" s="3" t="s">
        <v>392</v>
      </c>
      <c r="C227" s="5">
        <v>8.5984899999999993E-9</v>
      </c>
      <c r="D227" s="3">
        <v>20</v>
      </c>
      <c r="E227" s="2">
        <v>1</v>
      </c>
      <c r="F227" s="3" t="s">
        <v>467</v>
      </c>
      <c r="H227" s="4" t="s">
        <v>466</v>
      </c>
      <c r="I227" s="3" t="s">
        <v>392</v>
      </c>
      <c r="J227" s="5">
        <v>3.2739900000000002E-8</v>
      </c>
      <c r="K227" s="3">
        <v>20</v>
      </c>
      <c r="L227" s="2">
        <v>1</v>
      </c>
      <c r="M227" s="3" t="s">
        <v>467</v>
      </c>
      <c r="N227" s="3"/>
      <c r="O227" s="7">
        <f t="shared" si="3"/>
        <v>2.8076336659111081</v>
      </c>
    </row>
    <row r="228" spans="1:15" ht="43.5" x14ac:dyDescent="0.35">
      <c r="A228" s="4" t="s">
        <v>468</v>
      </c>
      <c r="B228" s="3" t="s">
        <v>392</v>
      </c>
      <c r="C228" s="5">
        <v>1.7405699999999999E-6</v>
      </c>
      <c r="D228" s="3">
        <v>20</v>
      </c>
      <c r="E228" s="2">
        <v>1</v>
      </c>
      <c r="F228" s="3" t="s">
        <v>469</v>
      </c>
      <c r="H228" s="4" t="s">
        <v>468</v>
      </c>
      <c r="I228" s="3" t="s">
        <v>392</v>
      </c>
      <c r="J228" s="5">
        <v>2.2480000000000002E-5</v>
      </c>
      <c r="K228" s="3">
        <v>20</v>
      </c>
      <c r="L228" s="2">
        <v>1</v>
      </c>
      <c r="M228" s="3" t="s">
        <v>469</v>
      </c>
      <c r="N228" s="3"/>
      <c r="O228" s="7">
        <f t="shared" si="3"/>
        <v>11.915309352683318</v>
      </c>
    </row>
    <row r="229" spans="1:15" ht="43.5" x14ac:dyDescent="0.35">
      <c r="A229" s="4" t="s">
        <v>470</v>
      </c>
      <c r="B229" s="3" t="s">
        <v>392</v>
      </c>
      <c r="C229" s="5">
        <v>5.8425499999999997E-6</v>
      </c>
      <c r="D229" s="3">
        <v>20</v>
      </c>
      <c r="E229" s="2">
        <v>1</v>
      </c>
      <c r="F229" s="3" t="s">
        <v>471</v>
      </c>
      <c r="H229" s="4" t="s">
        <v>470</v>
      </c>
      <c r="I229" s="3" t="s">
        <v>392</v>
      </c>
      <c r="J229" s="5">
        <v>3.82523E-5</v>
      </c>
      <c r="K229" s="3">
        <v>20</v>
      </c>
      <c r="L229" s="2">
        <v>1</v>
      </c>
      <c r="M229" s="3" t="s">
        <v>471</v>
      </c>
      <c r="N229" s="3"/>
      <c r="O229" s="7">
        <f t="shared" si="3"/>
        <v>5.5471925785829823</v>
      </c>
    </row>
    <row r="230" spans="1:15" ht="43.5" x14ac:dyDescent="0.35">
      <c r="A230" s="4" t="s">
        <v>472</v>
      </c>
      <c r="B230" s="3" t="s">
        <v>473</v>
      </c>
      <c r="C230" s="3">
        <v>0.91954000000000002</v>
      </c>
      <c r="D230" s="3" t="s">
        <v>11</v>
      </c>
      <c r="E230" s="2">
        <v>1</v>
      </c>
      <c r="F230" s="3" t="s">
        <v>474</v>
      </c>
      <c r="H230" s="4" t="s">
        <v>472</v>
      </c>
      <c r="I230" s="3" t="s">
        <v>473</v>
      </c>
      <c r="J230" s="3">
        <v>0.91954000000000002</v>
      </c>
      <c r="K230" s="3" t="s">
        <v>11</v>
      </c>
      <c r="L230" s="2">
        <v>1</v>
      </c>
      <c r="M230" s="3" t="s">
        <v>474</v>
      </c>
      <c r="N230" s="3"/>
      <c r="O230" s="7">
        <f t="shared" si="3"/>
        <v>0</v>
      </c>
    </row>
    <row r="231" spans="1:15" ht="43.5" x14ac:dyDescent="0.35">
      <c r="A231" s="4" t="s">
        <v>475</v>
      </c>
      <c r="B231" s="3" t="s">
        <v>476</v>
      </c>
      <c r="C231" s="3">
        <v>0.137931</v>
      </c>
      <c r="D231" s="3" t="s">
        <v>11</v>
      </c>
      <c r="E231" s="2">
        <v>1</v>
      </c>
      <c r="F231" s="3" t="s">
        <v>477</v>
      </c>
      <c r="H231" s="4" t="s">
        <v>475</v>
      </c>
      <c r="I231" s="3" t="s">
        <v>476</v>
      </c>
      <c r="J231" s="3">
        <v>0.137931</v>
      </c>
      <c r="K231" s="3" t="s">
        <v>11</v>
      </c>
      <c r="L231" s="2">
        <v>1</v>
      </c>
      <c r="M231" s="3" t="s">
        <v>477</v>
      </c>
      <c r="N231" s="3"/>
      <c r="O231" s="7">
        <f t="shared" si="3"/>
        <v>0</v>
      </c>
    </row>
    <row r="232" spans="1:15" ht="43.5" x14ac:dyDescent="0.35">
      <c r="A232" s="4" t="s">
        <v>478</v>
      </c>
      <c r="B232" s="3" t="s">
        <v>479</v>
      </c>
      <c r="C232" s="3">
        <v>0.62068999999999996</v>
      </c>
      <c r="D232" s="3" t="s">
        <v>11</v>
      </c>
      <c r="E232" s="2">
        <v>1</v>
      </c>
      <c r="F232" s="3" t="s">
        <v>480</v>
      </c>
      <c r="H232" s="4" t="s">
        <v>478</v>
      </c>
      <c r="I232" s="3" t="s">
        <v>479</v>
      </c>
      <c r="J232" s="3">
        <v>0.62068999999999996</v>
      </c>
      <c r="K232" s="3" t="s">
        <v>11</v>
      </c>
      <c r="L232" s="2">
        <v>1</v>
      </c>
      <c r="M232" s="3" t="s">
        <v>480</v>
      </c>
      <c r="N232" s="3"/>
      <c r="O232" s="7">
        <f t="shared" si="3"/>
        <v>0</v>
      </c>
    </row>
    <row r="233" spans="1:15" ht="58" x14ac:dyDescent="0.35">
      <c r="A233" s="4" t="s">
        <v>481</v>
      </c>
      <c r="B233" s="3" t="s">
        <v>482</v>
      </c>
      <c r="C233" s="3">
        <v>0.1381</v>
      </c>
      <c r="D233" s="3" t="s">
        <v>11</v>
      </c>
      <c r="E233" s="2">
        <v>1</v>
      </c>
      <c r="F233" s="3" t="s">
        <v>483</v>
      </c>
      <c r="H233" s="4" t="s">
        <v>481</v>
      </c>
      <c r="I233" s="3" t="s">
        <v>482</v>
      </c>
      <c r="J233" s="3">
        <v>0.1381</v>
      </c>
      <c r="K233" s="3" t="s">
        <v>11</v>
      </c>
      <c r="L233" s="2">
        <v>1</v>
      </c>
      <c r="M233" s="3" t="s">
        <v>483</v>
      </c>
      <c r="N233" s="3"/>
      <c r="O233" s="7">
        <f t="shared" si="3"/>
        <v>0</v>
      </c>
    </row>
    <row r="234" spans="1:15" ht="101.5" x14ac:dyDescent="0.35">
      <c r="A234" s="4" t="s">
        <v>484</v>
      </c>
      <c r="B234" s="3" t="s">
        <v>485</v>
      </c>
      <c r="C234" s="3">
        <v>-1.9845800000000001E-3</v>
      </c>
      <c r="D234" s="3">
        <v>20</v>
      </c>
      <c r="E234" s="2">
        <v>1</v>
      </c>
      <c r="F234" s="3" t="s">
        <v>486</v>
      </c>
      <c r="H234" s="4" t="s">
        <v>484</v>
      </c>
      <c r="I234" s="3" t="s">
        <v>485</v>
      </c>
      <c r="J234" s="3">
        <v>-7.2352500000000004E-3</v>
      </c>
      <c r="K234" s="3">
        <v>20</v>
      </c>
      <c r="L234" s="2">
        <v>1</v>
      </c>
      <c r="M234" s="3" t="s">
        <v>486</v>
      </c>
      <c r="N234" s="3"/>
      <c r="O234" s="7">
        <f t="shared" si="3"/>
        <v>2.6457336061030547</v>
      </c>
    </row>
    <row r="235" spans="1:15" ht="29" x14ac:dyDescent="0.35">
      <c r="A235" s="4" t="s">
        <v>487</v>
      </c>
      <c r="B235" s="3" t="s">
        <v>389</v>
      </c>
      <c r="C235" s="3">
        <v>3.1530200000000001E-2</v>
      </c>
      <c r="D235" s="3">
        <v>20</v>
      </c>
      <c r="E235" s="2">
        <v>1</v>
      </c>
      <c r="F235" s="3" t="s">
        <v>488</v>
      </c>
      <c r="H235" s="4" t="s">
        <v>487</v>
      </c>
      <c r="I235" s="3" t="s">
        <v>389</v>
      </c>
      <c r="J235" s="3">
        <v>0.11589099999999999</v>
      </c>
      <c r="K235" s="3">
        <v>20</v>
      </c>
      <c r="L235" s="2">
        <v>1</v>
      </c>
      <c r="M235" s="3" t="s">
        <v>488</v>
      </c>
      <c r="N235" s="3"/>
      <c r="O235" s="7">
        <f t="shared" si="3"/>
        <v>2.6755554991722215</v>
      </c>
    </row>
    <row r="236" spans="1:15" ht="58" x14ac:dyDescent="0.35">
      <c r="A236" s="4" t="s">
        <v>489</v>
      </c>
      <c r="B236" s="3" t="s">
        <v>473</v>
      </c>
      <c r="C236" s="3">
        <v>0.91954000000000002</v>
      </c>
      <c r="D236" s="3" t="s">
        <v>11</v>
      </c>
      <c r="E236" s="2">
        <v>1</v>
      </c>
      <c r="F236" s="3" t="s">
        <v>490</v>
      </c>
      <c r="H236" s="4" t="s">
        <v>489</v>
      </c>
      <c r="I236" s="3" t="s">
        <v>473</v>
      </c>
      <c r="J236" s="3">
        <v>0.91954000000000002</v>
      </c>
      <c r="K236" s="3" t="s">
        <v>11</v>
      </c>
      <c r="L236" s="2">
        <v>1</v>
      </c>
      <c r="M236" s="3" t="s">
        <v>490</v>
      </c>
      <c r="N236" s="3"/>
      <c r="O236" s="7">
        <f t="shared" si="3"/>
        <v>0</v>
      </c>
    </row>
    <row r="237" spans="1:15" ht="58" x14ac:dyDescent="0.35">
      <c r="A237" s="4" t="s">
        <v>491</v>
      </c>
      <c r="B237" s="3" t="s">
        <v>476</v>
      </c>
      <c r="C237" s="3">
        <v>0.137931</v>
      </c>
      <c r="D237" s="3" t="s">
        <v>11</v>
      </c>
      <c r="E237" s="2">
        <v>1</v>
      </c>
      <c r="F237" s="3" t="s">
        <v>492</v>
      </c>
      <c r="H237" s="4" t="s">
        <v>491</v>
      </c>
      <c r="I237" s="3" t="s">
        <v>476</v>
      </c>
      <c r="J237" s="3">
        <v>0.137931</v>
      </c>
      <c r="K237" s="3" t="s">
        <v>11</v>
      </c>
      <c r="L237" s="2">
        <v>1</v>
      </c>
      <c r="M237" s="3" t="s">
        <v>492</v>
      </c>
      <c r="N237" s="3"/>
      <c r="O237" s="7">
        <f t="shared" si="3"/>
        <v>0</v>
      </c>
    </row>
    <row r="238" spans="1:15" ht="58" x14ac:dyDescent="0.35">
      <c r="A238" s="4" t="s">
        <v>493</v>
      </c>
      <c r="B238" s="3" t="s">
        <v>479</v>
      </c>
      <c r="C238" s="3">
        <v>0.62068999999999996</v>
      </c>
      <c r="D238" s="3" t="s">
        <v>11</v>
      </c>
      <c r="E238" s="2">
        <v>1</v>
      </c>
      <c r="F238" s="3" t="s">
        <v>494</v>
      </c>
      <c r="H238" s="4" t="s">
        <v>493</v>
      </c>
      <c r="I238" s="3" t="s">
        <v>479</v>
      </c>
      <c r="J238" s="3">
        <v>0.62068999999999996</v>
      </c>
      <c r="K238" s="3" t="s">
        <v>11</v>
      </c>
      <c r="L238" s="2">
        <v>1</v>
      </c>
      <c r="M238" s="3" t="s">
        <v>494</v>
      </c>
      <c r="N238" s="3"/>
      <c r="O238" s="7">
        <f t="shared" si="3"/>
        <v>0</v>
      </c>
    </row>
    <row r="239" spans="1:15" ht="58" x14ac:dyDescent="0.35">
      <c r="A239" s="4" t="s">
        <v>495</v>
      </c>
      <c r="B239" s="3" t="s">
        <v>482</v>
      </c>
      <c r="C239" s="3">
        <v>0.1381</v>
      </c>
      <c r="D239" s="3" t="s">
        <v>11</v>
      </c>
      <c r="E239" s="2">
        <v>1</v>
      </c>
      <c r="F239" s="3" t="s">
        <v>496</v>
      </c>
      <c r="H239" s="4" t="s">
        <v>495</v>
      </c>
      <c r="I239" s="3" t="s">
        <v>482</v>
      </c>
      <c r="J239" s="3">
        <v>0.1381</v>
      </c>
      <c r="K239" s="3" t="s">
        <v>11</v>
      </c>
      <c r="L239" s="2">
        <v>1</v>
      </c>
      <c r="M239" s="3" t="s">
        <v>496</v>
      </c>
      <c r="N239" s="3"/>
      <c r="O239" s="7">
        <f t="shared" si="3"/>
        <v>0</v>
      </c>
    </row>
    <row r="240" spans="1:15" ht="116" x14ac:dyDescent="0.35">
      <c r="A240" s="4" t="s">
        <v>497</v>
      </c>
      <c r="B240" s="3" t="s">
        <v>485</v>
      </c>
      <c r="C240" s="3">
        <v>-1.31927E-3</v>
      </c>
      <c r="D240" s="3">
        <v>20</v>
      </c>
      <c r="E240" s="2">
        <v>1</v>
      </c>
      <c r="F240" s="3" t="s">
        <v>498</v>
      </c>
      <c r="H240" s="4" t="s">
        <v>497</v>
      </c>
      <c r="I240" s="3" t="s">
        <v>485</v>
      </c>
      <c r="J240" s="3">
        <v>-2.9349900000000002E-3</v>
      </c>
      <c r="K240" s="3">
        <v>20</v>
      </c>
      <c r="L240" s="2">
        <v>1</v>
      </c>
      <c r="M240" s="3" t="s">
        <v>498</v>
      </c>
      <c r="N240" s="3"/>
      <c r="O240" s="7">
        <f t="shared" si="3"/>
        <v>1.2247076034473612</v>
      </c>
    </row>
    <row r="241" spans="1:15" ht="43.5" x14ac:dyDescent="0.35">
      <c r="A241" s="4" t="s">
        <v>499</v>
      </c>
      <c r="B241" s="3" t="s">
        <v>389</v>
      </c>
      <c r="C241" s="3">
        <v>6.2130999999999998</v>
      </c>
      <c r="D241" s="3">
        <v>20</v>
      </c>
      <c r="E241" s="2">
        <v>1</v>
      </c>
      <c r="F241" s="3" t="s">
        <v>500</v>
      </c>
      <c r="H241" s="4" t="s">
        <v>499</v>
      </c>
      <c r="I241" s="3" t="s">
        <v>389</v>
      </c>
      <c r="J241" s="3">
        <v>79.531199999999998</v>
      </c>
      <c r="K241" s="3">
        <v>20</v>
      </c>
      <c r="L241" s="2">
        <v>1</v>
      </c>
      <c r="M241" s="3" t="s">
        <v>500</v>
      </c>
      <c r="N241" s="3"/>
      <c r="O241" s="7">
        <f t="shared" si="3"/>
        <v>11.800566544880978</v>
      </c>
    </row>
    <row r="242" spans="1:15" ht="43.5" x14ac:dyDescent="0.35">
      <c r="A242" s="4" t="s">
        <v>501</v>
      </c>
      <c r="B242" s="3" t="s">
        <v>473</v>
      </c>
      <c r="C242" s="3">
        <v>0.91954000000000002</v>
      </c>
      <c r="D242" s="3" t="s">
        <v>11</v>
      </c>
      <c r="E242" s="2">
        <v>1</v>
      </c>
      <c r="F242" s="3" t="s">
        <v>502</v>
      </c>
      <c r="H242" s="4" t="s">
        <v>501</v>
      </c>
      <c r="I242" s="3" t="s">
        <v>473</v>
      </c>
      <c r="J242" s="3">
        <v>0.91954000000000002</v>
      </c>
      <c r="K242" s="3" t="s">
        <v>11</v>
      </c>
      <c r="L242" s="2">
        <v>1</v>
      </c>
      <c r="M242" s="3" t="s">
        <v>502</v>
      </c>
      <c r="N242" s="3"/>
      <c r="O242" s="7">
        <f t="shared" si="3"/>
        <v>0</v>
      </c>
    </row>
    <row r="243" spans="1:15" ht="43.5" x14ac:dyDescent="0.35">
      <c r="A243" s="4" t="s">
        <v>503</v>
      </c>
      <c r="B243" s="3" t="s">
        <v>476</v>
      </c>
      <c r="C243" s="3">
        <v>0.137931</v>
      </c>
      <c r="D243" s="3" t="s">
        <v>11</v>
      </c>
      <c r="E243" s="2">
        <v>1</v>
      </c>
      <c r="F243" s="3" t="s">
        <v>504</v>
      </c>
      <c r="H243" s="4" t="s">
        <v>503</v>
      </c>
      <c r="I243" s="3" t="s">
        <v>476</v>
      </c>
      <c r="J243" s="3">
        <v>0.137931</v>
      </c>
      <c r="K243" s="3" t="s">
        <v>11</v>
      </c>
      <c r="L243" s="2">
        <v>1</v>
      </c>
      <c r="M243" s="3" t="s">
        <v>504</v>
      </c>
      <c r="N243" s="3"/>
      <c r="O243" s="7">
        <f t="shared" si="3"/>
        <v>0</v>
      </c>
    </row>
    <row r="244" spans="1:15" ht="43.5" x14ac:dyDescent="0.35">
      <c r="A244" s="4" t="s">
        <v>505</v>
      </c>
      <c r="B244" s="3" t="s">
        <v>479</v>
      </c>
      <c r="C244" s="3">
        <v>0.62068999999999996</v>
      </c>
      <c r="D244" s="3" t="s">
        <v>11</v>
      </c>
      <c r="E244" s="2">
        <v>1</v>
      </c>
      <c r="F244" s="3" t="s">
        <v>506</v>
      </c>
      <c r="H244" s="4" t="s">
        <v>505</v>
      </c>
      <c r="I244" s="3" t="s">
        <v>479</v>
      </c>
      <c r="J244" s="3">
        <v>0.62068999999999996</v>
      </c>
      <c r="K244" s="3" t="s">
        <v>11</v>
      </c>
      <c r="L244" s="2">
        <v>1</v>
      </c>
      <c r="M244" s="3" t="s">
        <v>506</v>
      </c>
      <c r="N244" s="3"/>
      <c r="O244" s="7">
        <f t="shared" si="3"/>
        <v>0</v>
      </c>
    </row>
    <row r="245" spans="1:15" ht="58" x14ac:dyDescent="0.35">
      <c r="A245" s="4" t="s">
        <v>507</v>
      </c>
      <c r="B245" s="3" t="s">
        <v>482</v>
      </c>
      <c r="C245" s="3">
        <v>0.1381</v>
      </c>
      <c r="D245" s="3" t="s">
        <v>11</v>
      </c>
      <c r="E245" s="2">
        <v>1</v>
      </c>
      <c r="F245" s="3" t="s">
        <v>508</v>
      </c>
      <c r="H245" s="4" t="s">
        <v>507</v>
      </c>
      <c r="I245" s="3" t="s">
        <v>482</v>
      </c>
      <c r="J245" s="3">
        <v>0.1381</v>
      </c>
      <c r="K245" s="3" t="s">
        <v>11</v>
      </c>
      <c r="L245" s="2">
        <v>1</v>
      </c>
      <c r="M245" s="3" t="s">
        <v>508</v>
      </c>
      <c r="N245" s="3"/>
      <c r="O245" s="7">
        <f t="shared" si="3"/>
        <v>0</v>
      </c>
    </row>
    <row r="246" spans="1:15" ht="101.5" x14ac:dyDescent="0.35">
      <c r="A246" s="4" t="s">
        <v>509</v>
      </c>
      <c r="B246" s="3" t="s">
        <v>485</v>
      </c>
      <c r="C246" s="3">
        <v>-1.07536E-3</v>
      </c>
      <c r="D246" s="3">
        <v>20</v>
      </c>
      <c r="E246" s="2">
        <v>1</v>
      </c>
      <c r="F246" s="3" t="s">
        <v>510</v>
      </c>
      <c r="H246" s="4" t="s">
        <v>509</v>
      </c>
      <c r="I246" s="3" t="s">
        <v>485</v>
      </c>
      <c r="J246" s="3">
        <v>-9.9575800000000002E-4</v>
      </c>
      <c r="K246" s="3">
        <v>20</v>
      </c>
      <c r="L246" s="2">
        <v>1</v>
      </c>
      <c r="M246" s="3" t="s">
        <v>510</v>
      </c>
      <c r="N246" s="3"/>
      <c r="O246" s="7">
        <f>ABS(C246-J246)/ABS(C246)</f>
        <v>7.4023582800178553E-2</v>
      </c>
    </row>
    <row r="247" spans="1:15" ht="29" x14ac:dyDescent="0.35">
      <c r="A247" s="4" t="s">
        <v>511</v>
      </c>
      <c r="B247" s="3" t="s">
        <v>389</v>
      </c>
      <c r="C247" s="3">
        <v>20.568200000000001</v>
      </c>
      <c r="D247" s="3">
        <v>20</v>
      </c>
      <c r="E247" s="2">
        <v>1</v>
      </c>
      <c r="F247" s="3" t="s">
        <v>512</v>
      </c>
      <c r="H247" s="4" t="s">
        <v>511</v>
      </c>
      <c r="I247" s="3" t="s">
        <v>389</v>
      </c>
      <c r="J247" s="3">
        <v>130.578</v>
      </c>
      <c r="K247" s="3">
        <v>20</v>
      </c>
      <c r="L247" s="2">
        <v>1</v>
      </c>
      <c r="M247" s="3" t="s">
        <v>512</v>
      </c>
      <c r="N247" s="3"/>
      <c r="O247" s="7">
        <f>ABS(C247-J247)/ABS(C247)</f>
        <v>5.3485380344415159</v>
      </c>
    </row>
    <row r="248" spans="1:15" x14ac:dyDescent="0.35">
      <c r="I248" s="4"/>
      <c r="J248" s="3"/>
      <c r="K248" s="3"/>
      <c r="L248" s="3"/>
      <c r="M248" s="2"/>
      <c r="N248" s="3"/>
    </row>
  </sheetData>
  <mergeCells count="4">
    <mergeCell ref="A2:B2"/>
    <mergeCell ref="C2:D2"/>
    <mergeCell ref="H2:I2"/>
    <mergeCell ref="J2:K2"/>
  </mergeCells>
  <conditionalFormatting sqref="O4:O24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Miguel Ferreira de Oliveira</dc:creator>
  <cp:lastModifiedBy>Diogo Miguel Ferreira de Oliveira</cp:lastModifiedBy>
  <dcterms:created xsi:type="dcterms:W3CDTF">2025-07-25T09:52:20Z</dcterms:created>
  <dcterms:modified xsi:type="dcterms:W3CDTF">2025-07-25T10:04:45Z</dcterms:modified>
</cp:coreProperties>
</file>