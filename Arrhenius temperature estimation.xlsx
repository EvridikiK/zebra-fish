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ulisboa-my.sharepoint.com/personal/ist187176_tecnico_ulisboa_pt/Documents/Terraprima/Code/DEB Parameter Estimation/zebra-fish/"/>
    </mc:Choice>
  </mc:AlternateContent>
  <xr:revisionPtr revIDLastSave="173" documentId="11_F25DC773A252ABDACC10485AD91867845ADE58ED" xr6:coauthVersionLast="47" xr6:coauthVersionMax="47" xr10:uidLastSave="{04BD5343-79AB-450B-827D-F26EF7262D5B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C31" i="1"/>
  <c r="H19" i="1" a="1"/>
  <c r="H19" i="1" s="1"/>
  <c r="H7" i="1" a="1"/>
  <c r="H7" i="1" s="1"/>
  <c r="H8" i="1" a="1"/>
  <c r="H8" i="1" s="1"/>
  <c r="H9" i="1" a="1"/>
  <c r="H9" i="1" s="1"/>
  <c r="H10" i="1" a="1"/>
  <c r="H10" i="1" s="1"/>
  <c r="H11" i="1" a="1"/>
  <c r="H11" i="1" s="1"/>
  <c r="H12" i="1" a="1"/>
  <c r="H12" i="1" s="1"/>
  <c r="H13" i="1" a="1"/>
  <c r="H13" i="1" s="1"/>
  <c r="H6" i="1" a="1"/>
  <c r="H6" i="1" s="1"/>
  <c r="H27" i="1" l="1"/>
  <c r="H28" i="1"/>
  <c r="H29" i="1"/>
  <c r="H14" i="1"/>
  <c r="I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<sst xmlns="http://schemas.openxmlformats.org/spreadsheetml/2006/main" count="19" uniqueCount="14">
  <si>
    <t>Day</t>
  </si>
  <si>
    <t>Temperature</t>
  </si>
  <si>
    <t>T_A</t>
  </si>
  <si>
    <t>Feeding rate</t>
  </si>
  <si>
    <t>ln(A)</t>
  </si>
  <si>
    <t>Regression coefficients</t>
  </si>
  <si>
    <t>Mean</t>
  </si>
  <si>
    <t>T</t>
  </si>
  <si>
    <t>E_a (eV)</t>
  </si>
  <si>
    <t>Q10</t>
  </si>
  <si>
    <t>k_B</t>
  </si>
  <si>
    <t>Oxygen data over development from Barrinuevo and Burggren, 1999</t>
  </si>
  <si>
    <t>Feeding data from Lu et al. 2019</t>
  </si>
  <si>
    <t>Data from Hermaniuk et al.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</si>
</sst>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" fontId="0" fillId="0" borderId="2" xfId="0" applyNumberFormat="1" applyBorder="1"/>
    <xf numFmtId="0" fontId="0" fillId="0" borderId="3" xfId="0" applyBorder="1"/>
    <xf numFmtId="1" fontId="0" fillId="0" borderId="4" xfId="0" applyNumberFormat="1" applyBorder="1"/>
    <xf numFmtId="0" fontId="0" fillId="0" borderId="5" xfId="0" applyBorder="1"/>
    <xf numFmtId="1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" fontId="0" fillId="0" borderId="8" xfId="0" applyNumberFormat="1" applyBorder="1"/>
    <xf numFmtId="0" fontId="0" fillId="0" borderId="2" xfId="0" applyBorder="1"/>
    <xf numFmtId="0" fontId="0" fillId="0" borderId="4" xfId="0" applyBorder="1"/>
    <xf numFmtId="0" fontId="0" fillId="0" borderId="6" xfId="0" applyBorder="1"/>
    <xf numFmtId="0" fontId="0" fillId="0" borderId="1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0" xfId="0" applyBorder="1"/>
    <xf numFmtId="0" fontId="0" fillId="0" borderId="15" xfId="0" applyBorder="1"/>
    <xf numFmtId="164" fontId="0" fillId="0" borderId="3" xfId="0" applyNumberFormat="1" applyBorder="1"/>
    <xf numFmtId="164" fontId="0" fillId="0" borderId="5" xfId="0" applyNumberFormat="1" applyBorder="1"/>
    <xf numFmtId="164" fontId="0" fillId="0" borderId="7" xfId="0" applyNumberFormat="1" applyBorder="1"/>
    <xf numFmtId="164" fontId="0" fillId="0" borderId="9" xfId="0" applyNumberFormat="1" applyBorder="1"/>
    <xf numFmtId="164" fontId="0" fillId="0" borderId="0" xfId="0" applyNumberFormat="1"/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1" fontId="0" fillId="0" borderId="11" xfId="0" applyNumberFormat="1" applyBorder="1"/>
    <xf numFmtId="1" fontId="0" fillId="0" borderId="12" xfId="0" applyNumberFormat="1" applyBorder="1"/>
    <xf numFmtId="1" fontId="0" fillId="0" borderId="13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1"/>
  <sheetViews>
    <sheetView tabSelected="1" zoomScale="145" zoomScaleNormal="145" workbookViewId="0">
      <selection activeCell="K15" sqref="K15"/>
    </sheetView>
  </sheetViews>
  <sheetFormatPr defaultRowHeight="15" x14ac:dyDescent="0.25"/>
  <cols>
    <col min="2" max="2" width="11.7109375" bestFit="1" customWidth="1"/>
    <col min="3" max="3" width="11.140625" bestFit="1" customWidth="1"/>
    <col min="8" max="8" width="11.42578125" customWidth="1"/>
    <col min="11" max="11" width="11.140625" bestFit="1" customWidth="1"/>
  </cols>
  <sheetData>
    <row r="2" spans="2:9" x14ac:dyDescent="0.25">
      <c r="B2" s="30" t="s">
        <v>11</v>
      </c>
      <c r="C2" s="30"/>
      <c r="D2" s="30"/>
      <c r="E2" s="30"/>
    </row>
    <row r="3" spans="2:9" ht="15.75" thickBot="1" x14ac:dyDescent="0.3">
      <c r="B3" s="31"/>
      <c r="C3" s="31"/>
      <c r="D3" s="31"/>
      <c r="E3" s="31"/>
    </row>
    <row r="4" spans="2:9" ht="15.75" thickBot="1" x14ac:dyDescent="0.3">
      <c r="C4" s="25" t="s">
        <v>1</v>
      </c>
      <c r="D4" s="26"/>
      <c r="E4" s="27"/>
      <c r="H4" s="28" t="s">
        <v>5</v>
      </c>
      <c r="I4" s="29"/>
    </row>
    <row r="5" spans="2:9" ht="15.75" thickBot="1" x14ac:dyDescent="0.3">
      <c r="B5" s="13" t="s">
        <v>0</v>
      </c>
      <c r="C5" s="7">
        <v>25</v>
      </c>
      <c r="D5" s="19">
        <v>28</v>
      </c>
      <c r="E5" s="8">
        <v>31</v>
      </c>
      <c r="H5" s="12" t="s">
        <v>2</v>
      </c>
      <c r="I5" s="6" t="s">
        <v>4</v>
      </c>
    </row>
    <row r="6" spans="2:9" x14ac:dyDescent="0.25">
      <c r="B6" s="14">
        <v>10</v>
      </c>
      <c r="C6" s="10">
        <v>27.417000000000002</v>
      </c>
      <c r="D6" s="17">
        <v>39.307000000000002</v>
      </c>
      <c r="E6" s="2">
        <v>47.933999999999997</v>
      </c>
      <c r="H6" s="1" cm="1">
        <f t="array" ref="H6:I6">-LINEST(LN(C6:E6),1/($C$5:$E$5+273.15),TRUE,FALSE)</f>
        <v>8451.2998320373226</v>
      </c>
      <c r="I6" s="20">
        <v>-31.682743450923979</v>
      </c>
    </row>
    <row r="7" spans="2:9" x14ac:dyDescent="0.25">
      <c r="B7" s="15">
        <v>20</v>
      </c>
      <c r="C7" s="11">
        <v>20.175000000000001</v>
      </c>
      <c r="D7">
        <v>30.591999999999999</v>
      </c>
      <c r="E7" s="4">
        <v>39.642000000000003</v>
      </c>
      <c r="H7" s="3" cm="1">
        <f t="array" ref="H7:I7">-LINEST(LN(C7:E7),1/($C$5:$E$5+273.15),TRUE,FALSE)</f>
        <v>10216.034685427669</v>
      </c>
      <c r="I7" s="21">
        <v>-37.29401106444724</v>
      </c>
    </row>
    <row r="8" spans="2:9" x14ac:dyDescent="0.25">
      <c r="B8" s="15">
        <v>30</v>
      </c>
      <c r="C8" s="11">
        <v>19.562999999999999</v>
      </c>
      <c r="D8">
        <v>27.349</v>
      </c>
      <c r="E8" s="4">
        <v>34.82</v>
      </c>
      <c r="H8" s="3" cm="1">
        <f t="array" ref="H8:I8">-LINEST(LN(C8:E8),1/($C$5:$E$5+273.15),TRUE,FALSE)</f>
        <v>8718.2497977432358</v>
      </c>
      <c r="I8" s="21">
        <v>-32.229277646903292</v>
      </c>
    </row>
    <row r="9" spans="2:9" x14ac:dyDescent="0.25">
      <c r="B9" s="15">
        <v>40</v>
      </c>
      <c r="C9" s="11">
        <v>12.428000000000001</v>
      </c>
      <c r="D9">
        <v>17.373000000000001</v>
      </c>
      <c r="E9" s="4">
        <v>22.212</v>
      </c>
      <c r="H9" s="3" cm="1">
        <f t="array" ref="H9:I9">-LINEST(LN(C9:E9),1/($C$5:$E$5+273.15),TRUE,FALSE)</f>
        <v>8780.4343334904206</v>
      </c>
      <c r="I9" s="21">
        <v>-31.983444891001895</v>
      </c>
    </row>
    <row r="10" spans="2:9" x14ac:dyDescent="0.25">
      <c r="B10" s="15">
        <v>50</v>
      </c>
      <c r="C10" s="11">
        <v>9.3949999999999996</v>
      </c>
      <c r="D10">
        <v>13.288</v>
      </c>
      <c r="E10" s="4">
        <v>18.443999999999999</v>
      </c>
      <c r="H10" s="3" cm="1">
        <f t="array" ref="H10:I10">-LINEST(LN(C10:E10),1/($C$5:$E$5+273.15),TRUE,FALSE)</f>
        <v>10195.740178275264</v>
      </c>
      <c r="I10" s="21">
        <v>-36.438851978925065</v>
      </c>
    </row>
    <row r="11" spans="2:9" x14ac:dyDescent="0.25">
      <c r="B11" s="15">
        <v>60</v>
      </c>
      <c r="C11" s="11">
        <v>3.9430000000000001</v>
      </c>
      <c r="D11">
        <v>5.7320000000000002</v>
      </c>
      <c r="E11" s="4">
        <v>8.1509999999999998</v>
      </c>
      <c r="H11" s="3" cm="1">
        <f t="array" ref="H11:I11">-LINEST(LN(C11:E11),1/($C$5:$E$5+273.15),TRUE,FALSE)</f>
        <v>10976.308444435779</v>
      </c>
      <c r="I11" s="21">
        <v>-38.189104810865082</v>
      </c>
    </row>
    <row r="12" spans="2:9" x14ac:dyDescent="0.25">
      <c r="B12" s="15">
        <v>70</v>
      </c>
      <c r="C12" s="11">
        <v>3.12</v>
      </c>
      <c r="D12">
        <v>5.1180000000000003</v>
      </c>
      <c r="E12" s="4">
        <v>7.3280000000000003</v>
      </c>
      <c r="H12" s="3" cm="1">
        <f t="array" ref="H12:I12">-LINEST(LN(C12:E12),1/($C$5:$E$5+273.15),TRUE,FALSE)</f>
        <v>12911.544668826808</v>
      </c>
      <c r="I12" s="21">
        <v>-44.464401283585765</v>
      </c>
    </row>
    <row r="13" spans="2:9" ht="15.75" thickBot="1" x14ac:dyDescent="0.3">
      <c r="B13" s="16">
        <v>100</v>
      </c>
      <c r="C13" s="12">
        <v>2.3359999999999999</v>
      </c>
      <c r="D13" s="18">
        <v>4.2279999999999998</v>
      </c>
      <c r="E13" s="6">
        <v>6.7539999999999996</v>
      </c>
      <c r="H13" s="5" cm="1">
        <f t="array" ref="H13:I13">-LINEST(LN(C13:E13),1/($C$5:$E$5+273.15),TRUE,FALSE)</f>
        <v>16051.895723324382</v>
      </c>
      <c r="I13" s="22">
        <v>-54.705622845042079</v>
      </c>
    </row>
    <row r="14" spans="2:9" ht="15.75" thickBot="1" x14ac:dyDescent="0.3">
      <c r="G14" s="13" t="s">
        <v>6</v>
      </c>
      <c r="H14" s="9">
        <f>AVERAGE(H6:H13)</f>
        <v>10787.688457945111</v>
      </c>
      <c r="I14" s="23">
        <f>AVERAGE(I6:I13)</f>
        <v>-38.373432246461796</v>
      </c>
    </row>
    <row r="15" spans="2:9" x14ac:dyDescent="0.25">
      <c r="H15" s="24"/>
    </row>
    <row r="16" spans="2:9" x14ac:dyDescent="0.25">
      <c r="B16" s="30" t="s">
        <v>12</v>
      </c>
      <c r="C16" s="30"/>
      <c r="H16" s="24"/>
    </row>
    <row r="17" spans="2:9" ht="15.75" thickBot="1" x14ac:dyDescent="0.3">
      <c r="B17" s="31"/>
      <c r="C17" s="31"/>
      <c r="H17" s="24"/>
    </row>
    <row r="18" spans="2:9" ht="15.75" thickBot="1" x14ac:dyDescent="0.3">
      <c r="B18" s="7" t="s">
        <v>1</v>
      </c>
      <c r="C18" s="8" t="s">
        <v>3</v>
      </c>
      <c r="H18" s="7" t="s">
        <v>2</v>
      </c>
      <c r="I18" s="23" t="s">
        <v>4</v>
      </c>
    </row>
    <row r="19" spans="2:9" ht="15.75" thickBot="1" x14ac:dyDescent="0.3">
      <c r="B19" s="10">
        <v>28</v>
      </c>
      <c r="C19" s="2">
        <v>4.5819999999999999</v>
      </c>
      <c r="H19" s="9" cm="1">
        <f t="array" ref="H19:I19">-LINEST(LN(C19:C22),1/($B$19:$B$22+273.15),TRUE,FALSE)</f>
        <v>17767.429754420758</v>
      </c>
      <c r="I19" s="23">
        <v>-60.844182171063231</v>
      </c>
    </row>
    <row r="20" spans="2:9" x14ac:dyDescent="0.25">
      <c r="B20" s="11">
        <v>22</v>
      </c>
      <c r="C20" s="4">
        <v>2.492</v>
      </c>
    </row>
    <row r="21" spans="2:9" x14ac:dyDescent="0.25">
      <c r="B21" s="11">
        <v>16</v>
      </c>
      <c r="C21" s="4">
        <v>1.18</v>
      </c>
    </row>
    <row r="22" spans="2:9" ht="15.75" thickBot="1" x14ac:dyDescent="0.3">
      <c r="B22" s="12">
        <v>13</v>
      </c>
      <c r="C22" s="6">
        <v>0.14099999999999999</v>
      </c>
    </row>
    <row r="23" spans="2:9" ht="15.75" thickBot="1" x14ac:dyDescent="0.3"/>
    <row r="24" spans="2:9" x14ac:dyDescent="0.25">
      <c r="B24" s="32" t="s">
        <v>13</v>
      </c>
      <c r="C24" s="33"/>
      <c r="D24" s="34"/>
    </row>
    <row r="25" spans="2:9" ht="15.75" thickBot="1" x14ac:dyDescent="0.3">
      <c r="B25" s="35"/>
      <c r="C25" s="31"/>
      <c r="D25" s="36"/>
    </row>
    <row r="26" spans="2:9" ht="15.75" thickBot="1" x14ac:dyDescent="0.3">
      <c r="B26" s="13" t="s">
        <v>7</v>
      </c>
      <c r="C26" s="19" t="s">
        <v>8</v>
      </c>
      <c r="D26" s="8" t="s">
        <v>9</v>
      </c>
      <c r="H26" s="13" t="s">
        <v>2</v>
      </c>
    </row>
    <row r="27" spans="2:9" x14ac:dyDescent="0.25">
      <c r="B27" s="14">
        <v>23.5</v>
      </c>
      <c r="C27" s="10">
        <v>0.44059999999999999</v>
      </c>
      <c r="D27" s="2">
        <v>1.7402</v>
      </c>
      <c r="H27" s="37">
        <f>C27/$C$31</f>
        <v>5113.1484275269804</v>
      </c>
    </row>
    <row r="28" spans="2:9" x14ac:dyDescent="0.25">
      <c r="B28" s="15">
        <v>26.5</v>
      </c>
      <c r="C28" s="11">
        <v>0.56200000000000006</v>
      </c>
      <c r="D28" s="4">
        <v>2.1392000000000002</v>
      </c>
      <c r="H28" s="38">
        <f>C28/$C$31</f>
        <v>6521.9914123244744</v>
      </c>
    </row>
    <row r="29" spans="2:9" ht="15.75" thickBot="1" x14ac:dyDescent="0.3">
      <c r="B29" s="16">
        <v>29.5</v>
      </c>
      <c r="C29" s="12">
        <v>0.6835</v>
      </c>
      <c r="D29" s="6">
        <v>2.7061000000000002</v>
      </c>
      <c r="H29" s="39">
        <f>C29/$C$31</f>
        <v>7931.9948938145517</v>
      </c>
    </row>
    <row r="30" spans="2:9" ht="15.75" thickBot="1" x14ac:dyDescent="0.3">
      <c r="G30" s="13" t="s">
        <v>6</v>
      </c>
      <c r="H30" s="40">
        <f>AVERAGE(H27:H29)</f>
        <v>6522.3782445553343</v>
      </c>
    </row>
    <row r="31" spans="2:9" ht="15.75" thickBot="1" x14ac:dyDescent="0.3">
      <c r="B31" s="13" t="s">
        <v>10</v>
      </c>
      <c r="C31" s="13">
        <f>8.617*10^-5</f>
        <v>8.617000000000001E-5</v>
      </c>
    </row>
  </sheetData>
  <mergeCells count="5">
    <mergeCell ref="B16:C17"/>
    <mergeCell ref="B24:D25"/>
    <mergeCell ref="C4:E4"/>
    <mergeCell ref="H4:I4"/>
    <mergeCell ref="B2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Oliveira</dc:creator>
  <cp:lastModifiedBy>Diogo Miguel Ferreira de Oliveira</cp:lastModifiedBy>
  <dcterms:created xsi:type="dcterms:W3CDTF">2015-06-05T18:17:20Z</dcterms:created>
  <dcterms:modified xsi:type="dcterms:W3CDTF">2025-09-11T10:55:34Z</dcterms:modified>
</cp:coreProperties>
</file>